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owenl\Downloads\"/>
    </mc:Choice>
  </mc:AlternateContent>
  <xr:revisionPtr revIDLastSave="0" documentId="8_{4B0B8998-5F0E-4036-AD11-4E8EE42BCD5D}" xr6:coauthVersionLast="47" xr6:coauthVersionMax="47" xr10:uidLastSave="{00000000-0000-0000-0000-000000000000}"/>
  <bookViews>
    <workbookView xWindow="43102" yWindow="-98" windowWidth="28995" windowHeight="15675" xr2:uid="{00000000-000D-0000-FFFF-FFFF00000000}"/>
  </bookViews>
  <sheets>
    <sheet name="Instructions" sheetId="5" r:id="rId1"/>
    <sheet name="Home Page" sheetId="6" r:id="rId2"/>
    <sheet name="Expenses&amp;Incomes" sheetId="1" r:id="rId3"/>
    <sheet name="Goals" sheetId="4" r:id="rId4"/>
  </sheets>
  <definedNames>
    <definedName name="_xleta.SUM" hidden="1" xlm="1">#NAME?</definedName>
  </definedNames>
  <calcPr calcId="191028"/>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6" l="1"/>
  <c r="C10" i="6"/>
  <c r="W13" i="6"/>
  <c r="J4" i="1"/>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R47" i="6"/>
  <c r="R48" i="6"/>
  <c r="R49" i="6"/>
  <c r="R50" i="6"/>
  <c r="R51" i="6"/>
  <c r="R52" i="6"/>
  <c r="R53" i="6"/>
  <c r="R54" i="6"/>
  <c r="R55" i="6"/>
  <c r="R56" i="6"/>
  <c r="R57" i="6"/>
  <c r="R58" i="6"/>
  <c r="R59" i="6"/>
  <c r="R60" i="6"/>
  <c r="R61" i="6"/>
  <c r="R62" i="6"/>
  <c r="R63" i="6"/>
  <c r="R64" i="6"/>
  <c r="R65" i="6"/>
  <c r="R10" i="6"/>
  <c r="L14" i="1"/>
  <c r="M14" i="1"/>
  <c r="L15" i="1"/>
  <c r="M15" i="1"/>
  <c r="L16" i="1"/>
  <c r="M16" i="1"/>
  <c r="L17" i="1"/>
  <c r="M17" i="1"/>
  <c r="L18" i="1"/>
  <c r="M18" i="1"/>
  <c r="L19" i="1"/>
  <c r="M19" i="1"/>
  <c r="L20" i="1"/>
  <c r="M20" i="1"/>
  <c r="Z2" i="1"/>
  <c r="L4" i="1"/>
  <c r="N5" i="1"/>
  <c r="N4" i="1"/>
  <c r="M4" i="1"/>
  <c r="L5" i="1"/>
  <c r="L6" i="1"/>
  <c r="L7" i="1"/>
  <c r="L8" i="1"/>
  <c r="L9" i="1"/>
  <c r="L10" i="1"/>
  <c r="L11" i="1"/>
  <c r="L12" i="1"/>
  <c r="L13" i="1"/>
  <c r="L21" i="1"/>
  <c r="L22" i="1"/>
  <c r="L23" i="1"/>
  <c r="L24" i="1"/>
  <c r="L26" i="1"/>
  <c r="L27" i="1"/>
  <c r="L28" i="1"/>
  <c r="L29" i="1"/>
  <c r="L30" i="1"/>
  <c r="L31" i="1"/>
  <c r="L32" i="1"/>
  <c r="L33" i="1"/>
  <c r="L34" i="1"/>
  <c r="L35" i="1"/>
  <c r="L36" i="1"/>
  <c r="L37" i="1"/>
  <c r="L38" i="1"/>
  <c r="L39" i="1"/>
  <c r="L40" i="1"/>
  <c r="L41" i="1"/>
  <c r="L42" i="1"/>
  <c r="L43" i="1"/>
  <c r="L44" i="1"/>
  <c r="L45" i="1"/>
  <c r="L46" i="1"/>
  <c r="M5" i="1"/>
  <c r="M6" i="1"/>
  <c r="M7" i="1"/>
  <c r="L25" i="1" s="1"/>
  <c r="M8" i="1"/>
  <c r="M9" i="1"/>
  <c r="M10" i="1"/>
  <c r="M11" i="1"/>
  <c r="M12" i="1"/>
  <c r="M13" i="1"/>
  <c r="M21" i="1"/>
  <c r="M22" i="1"/>
  <c r="M23" i="1"/>
  <c r="M24" i="1"/>
  <c r="M25" i="1"/>
  <c r="M26" i="1"/>
  <c r="M27" i="1"/>
  <c r="M28" i="1"/>
  <c r="M29" i="1"/>
  <c r="M30" i="1"/>
  <c r="M31" i="1"/>
  <c r="M32" i="1"/>
  <c r="M33" i="1"/>
  <c r="M34" i="1"/>
  <c r="M35" i="1"/>
  <c r="M36" i="1"/>
  <c r="M37" i="1"/>
  <c r="M38" i="1"/>
  <c r="M39" i="1"/>
  <c r="M40" i="1"/>
  <c r="M41" i="1"/>
  <c r="M42" i="1"/>
  <c r="M43" i="1"/>
  <c r="M44" i="1"/>
  <c r="M45" i="1"/>
  <c r="M46"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J2" i="1"/>
  <c r="I2" i="1"/>
  <c r="I4" i="1" l="1"/>
  <c r="W10" i="6"/>
  <c r="W11" i="6"/>
  <c r="W12" i="6"/>
  <c r="Q18" i="1"/>
  <c r="L1" i="4" s="1"/>
  <c r="E2" i="1"/>
  <c r="E22" i="1"/>
  <c r="E21" i="1"/>
  <c r="Y4" i="1"/>
  <c r="Q6" i="1" s="1"/>
  <c r="Z4" i="1"/>
  <c r="P7" i="1"/>
  <c r="P6" i="1"/>
  <c r="T2" i="1"/>
  <c r="W2" i="1"/>
  <c r="F5" i="1" l="1"/>
  <c r="F21" i="1"/>
  <c r="E41" i="1"/>
  <c r="F29" i="1"/>
  <c r="F26" i="1"/>
  <c r="E19" i="1"/>
  <c r="F38" i="1"/>
  <c r="E3" i="1"/>
  <c r="F34" i="1"/>
  <c r="E35" i="1"/>
  <c r="F35" i="1"/>
  <c r="E20" i="1"/>
  <c r="F42" i="1"/>
  <c r="E8" i="1"/>
  <c r="F8" i="1"/>
  <c r="F17" i="1"/>
  <c r="F43" i="1"/>
  <c r="E7" i="1"/>
  <c r="E16" i="1"/>
  <c r="F31" i="1"/>
  <c r="F4" i="1"/>
  <c r="F6" i="1"/>
  <c r="F20" i="1"/>
  <c r="E29" i="1"/>
  <c r="F39" i="1"/>
  <c r="F28" i="1"/>
  <c r="E11" i="1"/>
  <c r="F13" i="1"/>
  <c r="E14" i="1"/>
  <c r="F36" i="1"/>
  <c r="E27" i="1"/>
  <c r="F45" i="1"/>
  <c r="E12" i="1"/>
  <c r="F40" i="1"/>
  <c r="F9" i="1"/>
  <c r="F44" i="1"/>
  <c r="E43" i="1"/>
  <c r="E18" i="1"/>
  <c r="E30" i="1"/>
  <c r="E38" i="1"/>
  <c r="E9" i="1"/>
  <c r="F3" i="1"/>
  <c r="E34" i="1"/>
  <c r="F15" i="1"/>
  <c r="F23" i="1"/>
  <c r="E23" i="1"/>
  <c r="E10" i="1"/>
  <c r="F14" i="1"/>
  <c r="F25" i="1"/>
  <c r="E13" i="1"/>
  <c r="F32" i="1"/>
  <c r="F24" i="1"/>
  <c r="E15" i="1"/>
  <c r="F37" i="1"/>
  <c r="E24" i="1"/>
  <c r="F7" i="1"/>
  <c r="E6" i="1"/>
  <c r="E17" i="1"/>
  <c r="E32" i="1"/>
  <c r="F10" i="1"/>
  <c r="E31" i="1"/>
  <c r="E25" i="1"/>
  <c r="E26" i="1"/>
  <c r="F19" i="1"/>
  <c r="E40" i="1"/>
  <c r="F22" i="1"/>
  <c r="E5" i="1"/>
  <c r="F16" i="1"/>
  <c r="F33" i="1"/>
  <c r="F41" i="1"/>
  <c r="F11" i="1"/>
  <c r="F18" i="1"/>
  <c r="E39" i="1"/>
  <c r="E33" i="1"/>
  <c r="E42" i="1"/>
  <c r="F27" i="1"/>
  <c r="F12" i="1"/>
  <c r="F30" i="1"/>
  <c r="E28" i="1"/>
  <c r="E37" i="1"/>
  <c r="E36" i="1"/>
  <c r="E4" i="1"/>
  <c r="F2" i="1"/>
  <c r="Q13" i="1"/>
  <c r="R6" i="1"/>
  <c r="R13" i="1"/>
  <c r="P4" i="1"/>
  <c r="T4" i="1"/>
  <c r="R4" i="1" s="1"/>
  <c r="S4" i="1"/>
  <c r="Q4" i="1" s="1"/>
  <c r="P5" i="1"/>
  <c r="W4" i="1"/>
  <c r="V4" i="1"/>
  <c r="R5" i="1" l="1"/>
  <c r="R12" i="1"/>
  <c r="R14" i="1" s="1"/>
  <c r="I25" i="6" s="1"/>
  <c r="Q5" i="1"/>
  <c r="Q7" i="1" s="1"/>
  <c r="Q12" i="1"/>
  <c r="Q14" i="1" s="1"/>
  <c r="I24" i="6" s="1"/>
  <c r="R7" i="1"/>
</calcChain>
</file>

<file path=xl/sharedStrings.xml><?xml version="1.0" encoding="utf-8"?>
<sst xmlns="http://schemas.openxmlformats.org/spreadsheetml/2006/main" count="263" uniqueCount="96">
  <si>
    <t>Date</t>
  </si>
  <si>
    <t>Item</t>
  </si>
  <si>
    <t>Category</t>
  </si>
  <si>
    <t>Month:</t>
  </si>
  <si>
    <t>Income</t>
  </si>
  <si>
    <t>Amount</t>
  </si>
  <si>
    <t>Year:</t>
  </si>
  <si>
    <t>Outputs</t>
  </si>
  <si>
    <t>Financial Goal (%)</t>
  </si>
  <si>
    <t>Financia Goal ($)</t>
  </si>
  <si>
    <t>Amount Allocated</t>
  </si>
  <si>
    <t>Amount ($)</t>
  </si>
  <si>
    <t>Expenses</t>
  </si>
  <si>
    <t>Goals</t>
  </si>
  <si>
    <t>Savings</t>
  </si>
  <si>
    <t>Financial advice</t>
  </si>
  <si>
    <t>Bills</t>
  </si>
  <si>
    <t>Entertainment</t>
  </si>
  <si>
    <t>job</t>
  </si>
  <si>
    <t>water</t>
  </si>
  <si>
    <t>gas</t>
  </si>
  <si>
    <t>Total Income:</t>
  </si>
  <si>
    <t>Total Expenses:</t>
  </si>
  <si>
    <t>Chart Visualization:</t>
  </si>
  <si>
    <t>expense</t>
  </si>
  <si>
    <t>sample data</t>
  </si>
  <si>
    <t>month 1</t>
  </si>
  <si>
    <t>month 2</t>
  </si>
  <si>
    <t>projection</t>
  </si>
  <si>
    <t>income</t>
  </si>
  <si>
    <t>date1</t>
  </si>
  <si>
    <t>projection calculator</t>
  </si>
  <si>
    <t>month</t>
  </si>
  <si>
    <t>expenses</t>
  </si>
  <si>
    <t>current month</t>
  </si>
  <si>
    <t>savings</t>
  </si>
  <si>
    <t>Income and Expense Chart:</t>
  </si>
  <si>
    <t>User Goal Visualized:</t>
  </si>
  <si>
    <t>Monthly Trends:</t>
  </si>
  <si>
    <t>trends calculator</t>
  </si>
  <si>
    <t>previous month</t>
  </si>
  <si>
    <t>Advice Generator:</t>
  </si>
  <si>
    <t>expense table</t>
  </si>
  <si>
    <t>item</t>
  </si>
  <si>
    <t>amount</t>
  </si>
  <si>
    <t>for pivot</t>
  </si>
  <si>
    <t>pie pivot</t>
  </si>
  <si>
    <t>Row Labels</t>
  </si>
  <si>
    <t>(blank)</t>
  </si>
  <si>
    <t>Grand Total</t>
  </si>
  <si>
    <t>item1</t>
  </si>
  <si>
    <t>amount2</t>
  </si>
  <si>
    <t>Sum of amount2</t>
  </si>
  <si>
    <t>percent</t>
  </si>
  <si>
    <t>category</t>
  </si>
  <si>
    <t>month:</t>
  </si>
  <si>
    <t>bike</t>
  </si>
  <si>
    <t>% Status</t>
  </si>
  <si>
    <t>Visual Progress Bar</t>
  </si>
  <si>
    <t xml:space="preserve">Amount: </t>
  </si>
  <si>
    <t>Investments</t>
  </si>
  <si>
    <t>Emergency Fund</t>
  </si>
  <si>
    <t>Your expenses are above the recommended level, tighten spending.</t>
  </si>
  <si>
    <t>Advice:</t>
  </si>
  <si>
    <t>Movtivation:</t>
  </si>
  <si>
    <t>Every dollar you save now multiplies your future options.</t>
  </si>
  <si>
    <t>Use these two buttons</t>
  </si>
  <si>
    <t>Welcome User!</t>
  </si>
  <si>
    <t>Instructions:</t>
  </si>
  <si>
    <t xml:space="preserve">This is a financial tool designed to help students manage and track their finances each month to become financially responsible. In this process, the tool will help you become more financially literate and aware of your spending.
To begin, you start on the “Expenses&amp;Income” page, where you will input your expenses and income for at least the last 3 months with the “Add Item” button. This will help the tool gather data to generate predictions.
Once all entries are inputted, you will move onto the “Goals” page where you will input any financial goals such as saving up for a car with the “Add Financial Goals” button. In this stage, you can also add the progress you made on the goal too.
During the input stage, if you ever make an error, press the “Clear” button on the respective page to clear the page.
Now that the data is inputted correctly, we can go back to the “Home Page” to see the magic happen. First, we are going to click the “Generate Financial Data” button to grab all our expenses and income that we have for the month.
You may notice a few charts will generate. The first is a visual comparison of your income and expenses. The second one breaks down your type of spending for the month in a pie chart for better visualization. Our last chart is a basic predictor that will predict your income and expenses for the next month based off trends of your last 3 months. This will give you a forecast of the future to help better prepare.
Now, continuing to slide down the sheet, you can click on the button “Generate Goals in Visuals,” which will display how close you are to your financial goals for the month in a percent and a progress bar.
Now moving to the financial advice generator, using ideal percentage allocation for each category: savings (25%), expenses (45%), investments (20%), and emergency fund (10%), it will display the recommended amount you should allocate to each and give you financial advice and motivation based off your financial activities.
 </t>
  </si>
  <si>
    <t>Groceries</t>
  </si>
  <si>
    <t>Phone Bill</t>
  </si>
  <si>
    <t>Part-Time Job</t>
  </si>
  <si>
    <t>Bus Pass</t>
  </si>
  <si>
    <t>Hoodie</t>
  </si>
  <si>
    <t>Movie Night</t>
  </si>
  <si>
    <t>Snacks</t>
  </si>
  <si>
    <t>Tutoring Session</t>
  </si>
  <si>
    <t>Gym Membership</t>
  </si>
  <si>
    <t>Restaurant</t>
  </si>
  <si>
    <t>Uber Ride</t>
  </si>
  <si>
    <t>Shoes</t>
  </si>
  <si>
    <t>Spotify</t>
  </si>
  <si>
    <t>Small Freelance</t>
  </si>
  <si>
    <t>Coffee Out</t>
  </si>
  <si>
    <t>Internet Bill</t>
  </si>
  <si>
    <t>Christmas Gift</t>
  </si>
  <si>
    <t>Concert Ticket</t>
  </si>
  <si>
    <t>Holiday Bonus</t>
  </si>
  <si>
    <t>Netflix</t>
  </si>
  <si>
    <t>Dinner Out</t>
  </si>
  <si>
    <t>Ice Skating</t>
  </si>
  <si>
    <t>Freelance Work</t>
  </si>
  <si>
    <t>Shopping</t>
  </si>
  <si>
    <t xml:space="preserve">*sample data is located at AC </t>
  </si>
  <si>
    <t>november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</si>
</sst>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yyyy\-mm\-dd;@"/>
    <numFmt numFmtId="165" formatCode="0.0%"/>
  </numFmts>
  <fonts count="20" x14ac:knownFonts="1">
    <font>
      <sz val="11"/>
      <color theme="1"/>
      <name val="Calibri"/>
      <family val="2"/>
      <scheme val="minor"/>
    </font>
    <font>
      <sz val="11"/>
      <color theme="0"/>
      <name val="Calibri"/>
      <family val="2"/>
      <scheme val="minor"/>
    </font>
    <font>
      <sz val="11"/>
      <color rgb="FF000000"/>
      <name val="Calibri"/>
      <family val="2"/>
    </font>
    <font>
      <u/>
      <sz val="11"/>
      <color theme="10"/>
      <name val="Calibri"/>
      <family val="2"/>
      <scheme val="minor"/>
    </font>
    <font>
      <b/>
      <sz val="20"/>
      <color theme="0"/>
      <name val="Arial Black"/>
      <family val="2"/>
    </font>
    <font>
      <b/>
      <sz val="11"/>
      <color theme="0"/>
      <name val="Calibri"/>
      <family val="2"/>
      <scheme val="minor"/>
    </font>
    <font>
      <b/>
      <sz val="11"/>
      <color theme="1"/>
      <name val="Calibri"/>
      <family val="2"/>
      <scheme val="minor"/>
    </font>
    <font>
      <b/>
      <sz val="18"/>
      <color theme="1"/>
      <name val="Calibri"/>
      <family val="2"/>
      <scheme val="minor"/>
    </font>
    <font>
      <sz val="11"/>
      <color theme="1"/>
      <name val="Calibri"/>
      <family val="2"/>
      <scheme val="minor"/>
    </font>
    <font>
      <sz val="20"/>
      <color theme="0"/>
      <name val="Arial Black"/>
      <family val="2"/>
    </font>
    <font>
      <b/>
      <sz val="16"/>
      <color theme="1"/>
      <name val="Calibri"/>
      <family val="2"/>
      <scheme val="minor"/>
    </font>
    <font>
      <sz val="11"/>
      <color theme="8" tint="0.59999389629810485"/>
      <name val="Calibri"/>
      <family val="2"/>
      <scheme val="minor"/>
    </font>
    <font>
      <sz val="8"/>
      <name val="Calibri"/>
      <family val="2"/>
      <scheme val="minor"/>
    </font>
    <font>
      <sz val="14"/>
      <color theme="1"/>
      <name val="Arial Black"/>
      <family val="2"/>
    </font>
    <font>
      <sz val="14"/>
      <color rgb="FF000000"/>
      <name val="Arial Black"/>
      <family val="2"/>
    </font>
    <font>
      <sz val="14"/>
      <color theme="1" tint="4.9989318521683403E-2"/>
      <name val="Arial Black"/>
      <family val="2"/>
    </font>
    <font>
      <b/>
      <sz val="14"/>
      <color theme="1"/>
      <name val="Calibri"/>
      <family val="2"/>
      <scheme val="minor"/>
    </font>
    <font>
      <sz val="12"/>
      <color theme="1"/>
      <name val="Aptos"/>
      <family val="2"/>
    </font>
    <font>
      <b/>
      <sz val="36"/>
      <color theme="8"/>
      <name val="Calibri"/>
      <family val="2"/>
      <scheme val="minor"/>
    </font>
    <font>
      <b/>
      <sz val="20"/>
      <color theme="8"/>
      <name val="Calibri"/>
      <family val="2"/>
      <scheme val="minor"/>
    </font>
  </fonts>
  <fills count="11">
    <fill>
      <patternFill patternType="none"/>
    </fill>
    <fill>
      <patternFill patternType="gray125"/>
    </fill>
    <fill>
      <patternFill patternType="solid">
        <fgColor theme="8"/>
      </patternFill>
    </fill>
    <fill>
      <patternFill patternType="solid">
        <fgColor rgb="FFFF0000"/>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5" tint="0.79998168889431442"/>
        <bgColor indexed="64"/>
      </patternFill>
    </fill>
  </fills>
  <borders count="33">
    <border>
      <left/>
      <right/>
      <top/>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diagonal/>
    </border>
    <border>
      <left style="medium">
        <color theme="3"/>
      </left>
      <right/>
      <top/>
      <bottom/>
      <diagonal/>
    </border>
    <border>
      <left style="thin">
        <color indexed="64"/>
      </left>
      <right/>
      <top/>
      <bottom style="thin">
        <color theme="4" tint="0.39997558519241921"/>
      </bottom>
      <diagonal/>
    </border>
    <border>
      <left/>
      <right style="thin">
        <color indexed="64"/>
      </right>
      <top/>
      <bottom/>
      <diagonal/>
    </border>
    <border>
      <left/>
      <right style="thin">
        <color indexed="64"/>
      </right>
      <top/>
      <bottom style="thin">
        <color theme="4" tint="0.3999755851924192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rgb="FFB2B2B2"/>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rgb="FFB2B2B2"/>
      </left>
      <right/>
      <top/>
      <bottom/>
      <diagonal/>
    </border>
    <border>
      <left style="thin">
        <color rgb="FFB2B2B2"/>
      </left>
      <right style="thin">
        <color rgb="FFB2B2B2"/>
      </right>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5">
    <xf numFmtId="0" fontId="0" fillId="0" borderId="0"/>
    <xf numFmtId="0" fontId="1" fillId="2" borderId="0" applyNumberFormat="0" applyBorder="0" applyAlignment="0" applyProtection="0"/>
    <xf numFmtId="0" fontId="3" fillId="0" borderId="0" applyNumberFormat="0" applyFill="0" applyBorder="0" applyAlignment="0" applyProtection="0"/>
    <xf numFmtId="9" fontId="8" fillId="0" borderId="0" applyFont="0" applyFill="0" applyBorder="0" applyAlignment="0" applyProtection="0"/>
    <xf numFmtId="44" fontId="8" fillId="0" borderId="0" applyFont="0" applyFill="0" applyBorder="0" applyAlignment="0" applyProtection="0"/>
  </cellStyleXfs>
  <cellXfs count="82">
    <xf numFmtId="0" fontId="0" fillId="0" borderId="0" xfId="0"/>
    <xf numFmtId="0" fontId="1" fillId="2" borderId="1" xfId="1" applyBorder="1"/>
    <xf numFmtId="0" fontId="3" fillId="0" borderId="0" xfId="2"/>
    <xf numFmtId="0" fontId="0" fillId="5" borderId="13" xfId="0" applyFill="1" applyBorder="1"/>
    <xf numFmtId="164" fontId="0" fillId="5" borderId="13" xfId="0" applyNumberFormat="1" applyFill="1" applyBorder="1"/>
    <xf numFmtId="0" fontId="5" fillId="6" borderId="0" xfId="0" applyFont="1" applyFill="1"/>
    <xf numFmtId="164" fontId="0" fillId="5" borderId="0" xfId="0" applyNumberFormat="1" applyFill="1"/>
    <xf numFmtId="0" fontId="0" fillId="5" borderId="0" xfId="0" applyFill="1"/>
    <xf numFmtId="14" fontId="0" fillId="0" borderId="0" xfId="0" applyNumberFormat="1"/>
    <xf numFmtId="17" fontId="0" fillId="0" borderId="0" xfId="0" applyNumberFormat="1"/>
    <xf numFmtId="0" fontId="0" fillId="7" borderId="0" xfId="0" applyFill="1"/>
    <xf numFmtId="0" fontId="0" fillId="8" borderId="0" xfId="0" applyFill="1"/>
    <xf numFmtId="0" fontId="0" fillId="8" borderId="8" xfId="0" applyFill="1" applyBorder="1"/>
    <xf numFmtId="0" fontId="0" fillId="8" borderId="16" xfId="0" applyFill="1" applyBorder="1"/>
    <xf numFmtId="0" fontId="0" fillId="8" borderId="19" xfId="0" applyFill="1" applyBorder="1"/>
    <xf numFmtId="0" fontId="0" fillId="8" borderId="20" xfId="0" applyFill="1" applyBorder="1"/>
    <xf numFmtId="0" fontId="0" fillId="8" borderId="21" xfId="0" applyFill="1" applyBorder="1"/>
    <xf numFmtId="0" fontId="0" fillId="7" borderId="16" xfId="0" applyFill="1" applyBorder="1"/>
    <xf numFmtId="0" fontId="7" fillId="8" borderId="0" xfId="0" applyFont="1" applyFill="1"/>
    <xf numFmtId="10" fontId="7" fillId="8" borderId="0" xfId="0" applyNumberFormat="1" applyFont="1" applyFill="1"/>
    <xf numFmtId="0" fontId="6" fillId="8" borderId="0" xfId="0" applyFont="1" applyFill="1"/>
    <xf numFmtId="9" fontId="0" fillId="0" borderId="0" xfId="3" applyFont="1"/>
    <xf numFmtId="0" fontId="9" fillId="4" borderId="5"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5" fillId="8" borderId="0" xfId="0" applyFont="1" applyFill="1"/>
    <xf numFmtId="0" fontId="10" fillId="8" borderId="0" xfId="0" applyFont="1" applyFill="1" applyAlignment="1">
      <alignment horizontal="center"/>
    </xf>
    <xf numFmtId="0" fontId="1" fillId="7" borderId="0" xfId="0" applyFont="1" applyFill="1"/>
    <xf numFmtId="0" fontId="11" fillId="8" borderId="0" xfId="0" applyFont="1" applyFill="1"/>
    <xf numFmtId="0" fontId="0" fillId="5" borderId="22" xfId="0" applyFill="1" applyBorder="1"/>
    <xf numFmtId="0" fontId="0" fillId="0" borderId="13" xfId="0" applyBorder="1"/>
    <xf numFmtId="0" fontId="0" fillId="5" borderId="24" xfId="0" applyFill="1" applyBorder="1"/>
    <xf numFmtId="0" fontId="5" fillId="2" borderId="25" xfId="1" applyFont="1" applyBorder="1"/>
    <xf numFmtId="0" fontId="5" fillId="4" borderId="26" xfId="1" applyFont="1" applyFill="1" applyBorder="1"/>
    <xf numFmtId="0" fontId="0" fillId="5" borderId="27" xfId="0" applyFill="1" applyBorder="1"/>
    <xf numFmtId="0" fontId="0" fillId="0" borderId="27" xfId="0" applyBorder="1"/>
    <xf numFmtId="0" fontId="0" fillId="5" borderId="23" xfId="0" applyFill="1" applyBorder="1"/>
    <xf numFmtId="0" fontId="0" fillId="0" borderId="23" xfId="0" applyBorder="1"/>
    <xf numFmtId="0" fontId="0" fillId="0" borderId="28" xfId="0" applyBorder="1"/>
    <xf numFmtId="0" fontId="0" fillId="0" borderId="12" xfId="0" applyBorder="1"/>
    <xf numFmtId="0" fontId="0" fillId="0" borderId="29" xfId="0" applyBorder="1"/>
    <xf numFmtId="0" fontId="0" fillId="0" borderId="0" xfId="0" pivotButton="1"/>
    <xf numFmtId="0" fontId="0" fillId="0" borderId="0" xfId="0" applyAlignment="1">
      <alignment horizontal="left"/>
    </xf>
    <xf numFmtId="0" fontId="0" fillId="3" borderId="0" xfId="0" applyFill="1"/>
    <xf numFmtId="165" fontId="7" fillId="8" borderId="0" xfId="0" applyNumberFormat="1" applyFont="1" applyFill="1"/>
    <xf numFmtId="0" fontId="7" fillId="8" borderId="0" xfId="0" applyFont="1" applyFill="1" applyAlignment="1">
      <alignment horizontal="center"/>
    </xf>
    <xf numFmtId="0" fontId="13" fillId="9" borderId="2" xfId="0" applyFont="1" applyFill="1" applyBorder="1" applyAlignment="1">
      <alignment horizontal="center" vertical="center"/>
    </xf>
    <xf numFmtId="0" fontId="13" fillId="9" borderId="9" xfId="0" applyFont="1" applyFill="1" applyBorder="1" applyAlignment="1">
      <alignment horizontal="center" vertical="center"/>
    </xf>
    <xf numFmtId="0" fontId="14" fillId="10" borderId="2" xfId="0" applyFont="1" applyFill="1" applyBorder="1" applyAlignment="1">
      <alignment horizontal="center" vertical="center"/>
    </xf>
    <xf numFmtId="0" fontId="14" fillId="10" borderId="10" xfId="0" applyFont="1" applyFill="1" applyBorder="1" applyAlignment="1">
      <alignment horizontal="center" vertical="center"/>
    </xf>
    <xf numFmtId="0" fontId="14" fillId="10" borderId="8" xfId="0" applyFont="1" applyFill="1" applyBorder="1" applyAlignment="1">
      <alignment horizontal="center" vertical="center"/>
    </xf>
    <xf numFmtId="0" fontId="14" fillId="10" borderId="11" xfId="0" applyFont="1" applyFill="1" applyBorder="1" applyAlignment="1">
      <alignment horizontal="center" vertical="center"/>
    </xf>
    <xf numFmtId="0" fontId="15" fillId="9" borderId="8" xfId="0" applyFont="1" applyFill="1" applyBorder="1" applyAlignment="1">
      <alignment horizontal="center" vertical="center"/>
    </xf>
    <xf numFmtId="0" fontId="16" fillId="9" borderId="8" xfId="0" applyFont="1" applyFill="1" applyBorder="1"/>
    <xf numFmtId="0" fontId="16" fillId="9" borderId="0" xfId="0" applyFont="1" applyFill="1"/>
    <xf numFmtId="0" fontId="16" fillId="10" borderId="0" xfId="0" applyFont="1" applyFill="1"/>
    <xf numFmtId="0" fontId="16" fillId="10" borderId="16" xfId="0" applyFont="1" applyFill="1" applyBorder="1"/>
    <xf numFmtId="0" fontId="16" fillId="9" borderId="15" xfId="0" applyFont="1" applyFill="1" applyBorder="1"/>
    <xf numFmtId="0" fontId="16" fillId="9" borderId="12" xfId="0" applyFont="1" applyFill="1" applyBorder="1"/>
    <xf numFmtId="0" fontId="16" fillId="10" borderId="12" xfId="0" applyFont="1" applyFill="1" applyBorder="1"/>
    <xf numFmtId="0" fontId="16" fillId="10" borderId="17" xfId="0" applyFont="1" applyFill="1" applyBorder="1"/>
    <xf numFmtId="0" fontId="0" fillId="5" borderId="30" xfId="0" applyFill="1" applyBorder="1"/>
    <xf numFmtId="0" fontId="0" fillId="5" borderId="32" xfId="0" applyFill="1" applyBorder="1"/>
    <xf numFmtId="0" fontId="0" fillId="0" borderId="30" xfId="0" applyBorder="1"/>
    <xf numFmtId="0" fontId="0" fillId="0" borderId="32" xfId="0" applyBorder="1"/>
    <xf numFmtId="14" fontId="0" fillId="5" borderId="31" xfId="0" applyNumberFormat="1" applyFill="1" applyBorder="1"/>
    <xf numFmtId="14" fontId="0" fillId="0" borderId="31" xfId="0" applyNumberFormat="1" applyBorder="1"/>
    <xf numFmtId="0" fontId="18" fillId="7" borderId="0" xfId="0" applyFont="1" applyFill="1" applyAlignment="1">
      <alignment horizontal="left" vertical="center"/>
    </xf>
    <xf numFmtId="0" fontId="17" fillId="7" borderId="0" xfId="0" applyFont="1" applyFill="1" applyAlignment="1">
      <alignment horizontal="left" vertical="top" wrapText="1"/>
    </xf>
    <xf numFmtId="0" fontId="19" fillId="7" borderId="0" xfId="0" applyFont="1" applyFill="1" applyAlignment="1">
      <alignment vertical="center"/>
    </xf>
    <xf numFmtId="0" fontId="7" fillId="8" borderId="0" xfId="0" applyFont="1" applyFill="1" applyAlignment="1">
      <alignment horizontal="center" vertical="center"/>
    </xf>
    <xf numFmtId="0" fontId="7" fillId="8" borderId="0" xfId="0" applyFont="1" applyFill="1" applyAlignment="1" applyProtection="1">
      <alignment horizontal="center" vertical="center" wrapText="1"/>
      <protection locked="0"/>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9" fillId="4" borderId="2" xfId="0" applyFont="1" applyFill="1" applyBorder="1" applyAlignment="1">
      <alignment horizontal="center"/>
    </xf>
    <xf numFmtId="0" fontId="9" fillId="4" borderId="9" xfId="0" applyFont="1" applyFill="1" applyBorder="1" applyAlignment="1">
      <alignment horizontal="center"/>
    </xf>
    <xf numFmtId="0" fontId="9" fillId="4" borderId="18" xfId="0" applyFont="1" applyFill="1" applyBorder="1" applyAlignment="1">
      <alignment horizontal="center"/>
    </xf>
    <xf numFmtId="0" fontId="9" fillId="4" borderId="14" xfId="0" applyFont="1" applyFill="1" applyBorder="1" applyAlignment="1">
      <alignment horizontal="center"/>
    </xf>
    <xf numFmtId="0" fontId="9" fillId="4" borderId="0" xfId="0" applyFont="1" applyFill="1" applyAlignment="1">
      <alignment horizontal="center"/>
    </xf>
    <xf numFmtId="0" fontId="7" fillId="8" borderId="0" xfId="0" applyFont="1" applyFill="1" applyAlignment="1">
      <alignment horizontal="center"/>
    </xf>
    <xf numFmtId="44" fontId="7" fillId="8" borderId="0" xfId="4" applyFont="1" applyFill="1" applyAlignment="1"/>
    <xf numFmtId="0" fontId="16" fillId="0" borderId="0" xfId="0" applyFont="1"/>
  </cellXfs>
  <cellStyles count="5">
    <cellStyle name="Accent5" xfId="1" builtinId="45"/>
    <cellStyle name="Currency" xfId="4" builtinId="4"/>
    <cellStyle name="Hyperlink" xfId="2" builtinId="8"/>
    <cellStyle name="Normal" xfId="0" builtinId="0"/>
    <cellStyle name="Percent" xfId="3" builtinId="5"/>
  </cellStyles>
  <dxfs count="22">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rgb="FFB2B2B2"/>
        </top>
        <bottom/>
        <vertical/>
        <horizontal/>
      </border>
    </dxf>
    <dxf>
      <border outline="0">
        <top style="thin">
          <color rgb="FFB2B2B2"/>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theme="8"/>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top style="thin">
          <color rgb="FFB2B2B2"/>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indexed="64"/>
          <bgColor theme="8"/>
        </patternFill>
      </fill>
      <border diagonalUp="0" diagonalDown="0" outline="0">
        <left style="thin">
          <color rgb="FFB2B2B2"/>
        </left>
        <right style="thin">
          <color rgb="FFB2B2B2"/>
        </right>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yyyy\-mm\-dd;@"/>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strike val="0"/>
        <outline val="0"/>
        <shadow val="0"/>
        <u val="none"/>
        <vertAlign val="baseline"/>
        <sz val="14"/>
      </font>
      <fill>
        <patternFill patternType="solid">
          <fgColor indexed="64"/>
          <bgColor theme="5" tint="0.79998168889431442"/>
        </patternFill>
      </fill>
    </dxf>
    <dxf>
      <font>
        <b/>
        <strike val="0"/>
        <outline val="0"/>
        <shadow val="0"/>
        <u val="none"/>
        <vertAlign val="baseline"/>
        <sz val="14"/>
      </font>
      <fill>
        <patternFill patternType="solid">
          <fgColor indexed="64"/>
          <bgColor theme="5" tint="0.79998168889431442"/>
        </patternFill>
      </fill>
    </dxf>
    <dxf>
      <font>
        <b/>
        <strike val="0"/>
        <outline val="0"/>
        <shadow val="0"/>
        <u val="none"/>
        <vertAlign val="baseline"/>
        <sz val="14"/>
      </font>
      <fill>
        <patternFill patternType="solid">
          <fgColor indexed="64"/>
          <bgColor theme="9" tint="0.79998168889431442"/>
        </patternFill>
      </fill>
    </dxf>
    <dxf>
      <font>
        <b/>
        <strike val="0"/>
        <outline val="0"/>
        <shadow val="0"/>
        <u val="none"/>
        <vertAlign val="baseline"/>
        <sz val="14"/>
      </font>
      <fill>
        <patternFill patternType="solid">
          <fgColor indexed="64"/>
          <bgColor theme="9" tint="0.79998168889431442"/>
        </patternFill>
      </fill>
    </dxf>
    <dxf>
      <border outline="0">
        <top style="thin">
          <color indexed="64"/>
        </top>
        <bottom style="thin">
          <color theme="4" tint="0.39997558519241921"/>
        </bottom>
      </border>
    </dxf>
    <dxf>
      <font>
        <b/>
        <strike val="0"/>
        <outline val="0"/>
        <shadow val="0"/>
        <u val="none"/>
        <vertAlign val="baseline"/>
        <sz val="14"/>
      </font>
      <fill>
        <patternFill>
          <fgColor indexed="64"/>
          <bgColor theme="8" tint="0.59999389629810485"/>
        </patternFill>
      </fill>
    </dxf>
    <dxf>
      <font>
        <strike val="0"/>
        <outline val="0"/>
        <shadow val="0"/>
        <u val="none"/>
        <vertAlign val="baseline"/>
        <sz val="14"/>
      </font>
    </dxf>
  </dxfs>
  <tableStyles count="0" defaultTableStyle="TableStyleMedium2" defaultPivotStyle="PivotStyleMedium9"/>
  <colors>
    <mruColors>
      <color rgb="FFFFFFFF"/>
      <color rgb="FF0000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Expenses and Income for the Month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'Expenses&amp;Incomes'!$I$3:$J$3</c:f>
              <c:strCache>
                <c:ptCount val="2"/>
                <c:pt idx="0">
                  <c:v>Income</c:v>
                </c:pt>
                <c:pt idx="1">
                  <c:v>Expenses</c:v>
                </c:pt>
              </c:strCache>
            </c:strRef>
          </c:cat>
          <c:val>
            <c:numRef>
              <c:f>'Expenses&amp;Incomes'!$I$4:$J$4</c:f>
              <c:numCache>
                <c:formatCode>General</c:formatCode>
                <c:ptCount val="2"/>
                <c:pt idx="0">
                  <c:v>600</c:v>
                </c:pt>
                <c:pt idx="1">
                  <c:v>283.28999999999996</c:v>
                </c:pt>
              </c:numCache>
            </c:numRef>
          </c:val>
          <c:extLst>
            <c:ext xmlns:c16="http://schemas.microsoft.com/office/drawing/2014/chart" uri="{C3380CC4-5D6E-409C-BE32-E72D297353CC}">
              <c16:uniqueId val="{00000000-6409-4FB2-BC49-8F28E00A7660}"/>
            </c:ext>
          </c:extLst>
        </c:ser>
        <c:dLbls>
          <c:showLegendKey val="0"/>
          <c:showVal val="0"/>
          <c:showCatName val="0"/>
          <c:showSerName val="0"/>
          <c:showPercent val="0"/>
          <c:showBubbleSize val="0"/>
        </c:dLbls>
        <c:gapWidth val="115"/>
        <c:overlap val="-20"/>
        <c:axId val="1393470096"/>
        <c:axId val="1393470576"/>
      </c:barChart>
      <c:catAx>
        <c:axId val="139347009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470576"/>
        <c:crosses val="autoZero"/>
        <c:auto val="1"/>
        <c:lblAlgn val="ctr"/>
        <c:lblOffset val="100"/>
        <c:noMultiLvlLbl val="0"/>
      </c:catAx>
      <c:valAx>
        <c:axId val="1393470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47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Income and Expense Projections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742825896762904"/>
          <c:y val="0.27805555555555556"/>
          <c:w val="0.82201618547681543"/>
          <c:h val="0.49003827646544185"/>
        </c:manualLayout>
      </c:layout>
      <c:lineChart>
        <c:grouping val="stacked"/>
        <c:varyColors val="0"/>
        <c:ser>
          <c:idx val="0"/>
          <c:order val="0"/>
          <c:tx>
            <c:strRef>
              <c:f>'Expenses&amp;Incomes'!$Q$3</c:f>
              <c:strCache>
                <c:ptCount val="1"/>
                <c:pt idx="0">
                  <c:v>income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Pt>
            <c:idx val="0"/>
            <c:marker>
              <c:symbol val="none"/>
            </c:marker>
            <c:bubble3D val="0"/>
            <c:extLst>
              <c:ext xmlns:c16="http://schemas.microsoft.com/office/drawing/2014/chart" uri="{C3380CC4-5D6E-409C-BE32-E72D297353CC}">
                <c16:uniqueId val="{00000009-53A2-4052-BD63-7EAA9E807658}"/>
              </c:ext>
            </c:extLst>
          </c:dPt>
          <c:dPt>
            <c:idx val="1"/>
            <c:marker>
              <c:symbol val="none"/>
            </c:marker>
            <c:bubble3D val="0"/>
            <c:extLst>
              <c:ext xmlns:c16="http://schemas.microsoft.com/office/drawing/2014/chart" uri="{C3380CC4-5D6E-409C-BE32-E72D297353CC}">
                <c16:uniqueId val="{00000008-53A2-4052-BD63-7EAA9E807658}"/>
              </c:ext>
            </c:extLst>
          </c:dPt>
          <c:dPt>
            <c:idx val="2"/>
            <c:marker>
              <c:symbol val="none"/>
            </c:marker>
            <c:bubble3D val="0"/>
            <c:extLst>
              <c:ext xmlns:c16="http://schemas.microsoft.com/office/drawing/2014/chart" uri="{C3380CC4-5D6E-409C-BE32-E72D297353CC}">
                <c16:uniqueId val="{00000007-53A2-4052-BD63-7EAA9E807658}"/>
              </c:ext>
            </c:extLst>
          </c:dPt>
          <c:dPt>
            <c:idx val="3"/>
            <c:marker>
              <c:symbol val="none"/>
            </c:marker>
            <c:bubble3D val="0"/>
            <c:extLst>
              <c:ext xmlns:c16="http://schemas.microsoft.com/office/drawing/2014/chart" uri="{C3380CC4-5D6E-409C-BE32-E72D297353CC}">
                <c16:uniqueId val="{00000006-53A2-4052-BD63-7EAA9E807658}"/>
              </c:ext>
            </c:extLst>
          </c:dPt>
          <c:cat>
            <c:strRef>
              <c:f>'Expenses&amp;Incomes'!$P$4:$P$7</c:f>
              <c:strCache>
                <c:ptCount val="4"/>
                <c:pt idx="0">
                  <c:v>Sep-25</c:v>
                </c:pt>
                <c:pt idx="1">
                  <c:v>Oct-25</c:v>
                </c:pt>
                <c:pt idx="2">
                  <c:v>Nov-25</c:v>
                </c:pt>
                <c:pt idx="3">
                  <c:v>projection: december 2025</c:v>
                </c:pt>
              </c:strCache>
            </c:strRef>
          </c:cat>
          <c:val>
            <c:numRef>
              <c:f>'Expenses&amp;Incomes'!$Q$4:$Q$7</c:f>
              <c:numCache>
                <c:formatCode>General</c:formatCode>
                <c:ptCount val="4"/>
                <c:pt idx="0">
                  <c:v>0</c:v>
                </c:pt>
                <c:pt idx="1">
                  <c:v>560</c:v>
                </c:pt>
                <c:pt idx="2">
                  <c:v>600</c:v>
                </c:pt>
                <c:pt idx="3">
                  <c:v>406.00000000000006</c:v>
                </c:pt>
              </c:numCache>
            </c:numRef>
          </c:val>
          <c:smooth val="0"/>
          <c:extLst>
            <c:ext xmlns:c16="http://schemas.microsoft.com/office/drawing/2014/chart" uri="{C3380CC4-5D6E-409C-BE32-E72D297353CC}">
              <c16:uniqueId val="{00000000-53A2-4052-BD63-7EAA9E807658}"/>
            </c:ext>
          </c:extLst>
        </c:ser>
        <c:ser>
          <c:idx val="1"/>
          <c:order val="1"/>
          <c:tx>
            <c:strRef>
              <c:f>'Expenses&amp;Incomes'!$R$3</c:f>
              <c:strCache>
                <c:ptCount val="1"/>
                <c:pt idx="0">
                  <c:v>expenses</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Pt>
            <c:idx val="0"/>
            <c:marker>
              <c:symbol val="none"/>
            </c:marker>
            <c:bubble3D val="0"/>
            <c:extLst>
              <c:ext xmlns:c16="http://schemas.microsoft.com/office/drawing/2014/chart" uri="{C3380CC4-5D6E-409C-BE32-E72D297353CC}">
                <c16:uniqueId val="{00000005-53A2-4052-BD63-7EAA9E807658}"/>
              </c:ext>
            </c:extLst>
          </c:dPt>
          <c:dPt>
            <c:idx val="1"/>
            <c:marker>
              <c:symbol val="none"/>
            </c:marker>
            <c:bubble3D val="0"/>
            <c:extLst>
              <c:ext xmlns:c16="http://schemas.microsoft.com/office/drawing/2014/chart" uri="{C3380CC4-5D6E-409C-BE32-E72D297353CC}">
                <c16:uniqueId val="{00000004-53A2-4052-BD63-7EAA9E807658}"/>
              </c:ext>
            </c:extLst>
          </c:dPt>
          <c:dPt>
            <c:idx val="2"/>
            <c:marker>
              <c:symbol val="none"/>
            </c:marker>
            <c:bubble3D val="0"/>
            <c:extLst>
              <c:ext xmlns:c16="http://schemas.microsoft.com/office/drawing/2014/chart" uri="{C3380CC4-5D6E-409C-BE32-E72D297353CC}">
                <c16:uniqueId val="{00000003-53A2-4052-BD63-7EAA9E807658}"/>
              </c:ext>
            </c:extLst>
          </c:dPt>
          <c:dPt>
            <c:idx val="3"/>
            <c:marker>
              <c:symbol val="none"/>
            </c:marker>
            <c:bubble3D val="0"/>
            <c:extLst>
              <c:ext xmlns:c16="http://schemas.microsoft.com/office/drawing/2014/chart" uri="{C3380CC4-5D6E-409C-BE32-E72D297353CC}">
                <c16:uniqueId val="{00000002-53A2-4052-BD63-7EAA9E807658}"/>
              </c:ext>
            </c:extLst>
          </c:dPt>
          <c:cat>
            <c:strRef>
              <c:f>'Expenses&amp;Incomes'!$P$4:$P$7</c:f>
              <c:strCache>
                <c:ptCount val="4"/>
                <c:pt idx="0">
                  <c:v>Sep-25</c:v>
                </c:pt>
                <c:pt idx="1">
                  <c:v>Oct-25</c:v>
                </c:pt>
                <c:pt idx="2">
                  <c:v>Nov-25</c:v>
                </c:pt>
                <c:pt idx="3">
                  <c:v>projection: december 2025</c:v>
                </c:pt>
              </c:strCache>
            </c:strRef>
          </c:cat>
          <c:val>
            <c:numRef>
              <c:f>'Expenses&amp;Incomes'!$R$4:$R$7</c:f>
              <c:numCache>
                <c:formatCode>General</c:formatCode>
                <c:ptCount val="4"/>
                <c:pt idx="0">
                  <c:v>0</c:v>
                </c:pt>
                <c:pt idx="1">
                  <c:v>351.85999999999996</c:v>
                </c:pt>
                <c:pt idx="2">
                  <c:v>283.28999999999996</c:v>
                </c:pt>
                <c:pt idx="3">
                  <c:v>222.30249999999995</c:v>
                </c:pt>
              </c:numCache>
            </c:numRef>
          </c:val>
          <c:smooth val="0"/>
          <c:extLst>
            <c:ext xmlns:c16="http://schemas.microsoft.com/office/drawing/2014/chart" uri="{C3380CC4-5D6E-409C-BE32-E72D297353CC}">
              <c16:uniqueId val="{00000001-53A2-4052-BD63-7EAA9E807658}"/>
            </c:ext>
          </c:extLst>
        </c:ser>
        <c:dLbls>
          <c:showLegendKey val="0"/>
          <c:showVal val="0"/>
          <c:showCatName val="0"/>
          <c:showSerName val="0"/>
          <c:showPercent val="0"/>
          <c:showBubbleSize val="0"/>
        </c:dLbls>
        <c:smooth val="0"/>
        <c:axId val="1031659423"/>
        <c:axId val="1031661343"/>
      </c:lineChart>
      <c:catAx>
        <c:axId val="103165942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a:t>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661343"/>
        <c:crosses val="autoZero"/>
        <c:auto val="1"/>
        <c:lblAlgn val="ctr"/>
        <c:lblOffset val="100"/>
        <c:noMultiLvlLbl val="0"/>
      </c:catAx>
      <c:valAx>
        <c:axId val="10316613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a:t>Amount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65942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[Finance_Tracker.xlsm]Expenses&amp;Incomes!PivotTable2</c:name>
    <c:fmtId val="0"/>
  </c:pivotSource>
  <c:chart>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a:t>Monthly Breakdown</a:t>
            </a:r>
          </a:p>
        </c:rich>
      </c:tx>
      <c:layout>
        <c:manualLayout>
          <c:xMode val="edge"/>
          <c:yMode val="edge"/>
          <c:x val="0.22501377952755902"/>
          <c:y val="4.0645960921551476E-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8.4049650043744525E-2"/>
              <c:y val="0.11192512394284047"/>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1111111111111112E-2"/>
          <c:y val="0.22775262467191601"/>
          <c:w val="0.96944444444444444"/>
          <c:h val="0.56204068241469818"/>
        </c:manualLayout>
      </c:layout>
      <c:pie3DChart>
        <c:varyColors val="1"/>
        <c:ser>
          <c:idx val="0"/>
          <c:order val="0"/>
          <c:tx>
            <c:strRef>
              <c:f>'Expenses&amp;Incomes'!$Q$23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4E09-436A-8BCA-3BB9B78FA13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4E09-436A-8BCA-3BB9B78FA13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572C-4193-888C-676B8960A6E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572C-4193-888C-676B8960A6E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E09-436A-8BCA-3BB9B78FA135}"/>
              </c:ext>
            </c:extLst>
          </c:dPt>
          <c:dLbls>
            <c:dLbl>
              <c:idx val="0"/>
              <c:delete val="1"/>
              <c:extLst>
                <c:ext xmlns:c15="http://schemas.microsoft.com/office/drawing/2012/chart" uri="{CE6537A1-D6FC-4f65-9D91-7224C49458BB}"/>
                <c:ext xmlns:c16="http://schemas.microsoft.com/office/drawing/2014/chart" uri="{C3380CC4-5D6E-409C-BE32-E72D297353CC}">
                  <c16:uniqueId val="{00000004-4E09-436A-8BCA-3BB9B78FA135}"/>
                </c:ext>
              </c:extLst>
            </c:dLbl>
            <c:dLbl>
              <c:idx val="1"/>
              <c:layout>
                <c:manualLayout>
                  <c:x val="-8.4049650043744525E-2"/>
                  <c:y val="0.11192512394284047"/>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E09-436A-8BCA-3BB9B78FA135}"/>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'Expenses&amp;Incomes'!$P$24:$P$29</c:f>
              <c:strCache>
                <c:ptCount val="5"/>
                <c:pt idx="1">
                  <c:v>gas</c:v>
                </c:pt>
                <c:pt idx="2">
                  <c:v>job</c:v>
                </c:pt>
                <c:pt idx="3">
                  <c:v>water</c:v>
                </c:pt>
                <c:pt idx="4">
                  <c:v>(blank)</c:v>
                </c:pt>
              </c:strCache>
            </c:strRef>
          </c:cat>
          <c:val>
            <c:numRef>
              <c:f>'Expenses&amp;Incomes'!$Q$24:$Q$29</c:f>
              <c:numCache>
                <c:formatCode>General</c:formatCode>
                <c:ptCount val="5"/>
                <c:pt idx="0">
                  <c:v>0</c:v>
                </c:pt>
                <c:pt idx="1">
                  <c:v>340</c:v>
                </c:pt>
                <c:pt idx="2">
                  <c:v>1500</c:v>
                </c:pt>
                <c:pt idx="3">
                  <c:v>1200</c:v>
                </c:pt>
                <c:pt idx="4">
                  <c:v>0</c:v>
                </c:pt>
              </c:numCache>
            </c:numRef>
          </c:val>
          <c:extLst>
            <c:ext xmlns:c16="http://schemas.microsoft.com/office/drawing/2014/chart" uri="{C3380CC4-5D6E-409C-BE32-E72D297353CC}">
              <c16:uniqueId val="{00000000-4E09-436A-8BCA-3BB9B78FA135}"/>
            </c:ext>
          </c:extLst>
        </c:ser>
        <c:dLbls>
          <c:showLegendKey val="0"/>
          <c:showVal val="0"/>
          <c:showCatName val="0"/>
          <c:showSerName val="0"/>
          <c:showPercent val="0"/>
          <c:showBubbleSize val="0"/>
          <c:showLeaderLines val="0"/>
        </c:dLbls>
      </c:pie3DChart>
      <c:spPr>
        <a:noFill/>
        <a:ln>
          <a:noFill/>
        </a:ln>
        <a:effectLst/>
      </c:spPr>
    </c:plotArea>
    <c:legend>
      <c:legendPos val="b"/>
      <c:legendEntry>
        <c:idx val="0"/>
        <c:delete val="1"/>
      </c:legendEntry>
      <c:legendEntry>
        <c:idx val="4"/>
        <c:delete val="1"/>
      </c:legendEntry>
      <c:layout>
        <c:manualLayout>
          <c:xMode val="edge"/>
          <c:yMode val="edge"/>
          <c:x val="0.30295625546806648"/>
          <c:y val="0.78053404782735492"/>
          <c:w val="0.45519860017497815"/>
          <c:h val="0.17419036162146395"/>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966787</xdr:colOff>
      <xdr:row>5</xdr:row>
      <xdr:rowOff>18369</xdr:rowOff>
    </xdr:from>
    <xdr:to>
      <xdr:col>3</xdr:col>
      <xdr:colOff>814387</xdr:colOff>
      <xdr:row>7</xdr:row>
      <xdr:rowOff>501422</xdr:rowOff>
    </xdr:to>
    <xdr:sp macro="[0]!Generate_Financial_Data" textlink="">
      <xdr:nvSpPr>
        <xdr:cNvPr id="2" name="Rectangle: Rounded Corners 1">
          <a:extLst>
            <a:ext uri="{FF2B5EF4-FFF2-40B4-BE49-F238E27FC236}">
              <a16:creationId xmlns:a16="http://schemas.microsoft.com/office/drawing/2014/main" id="{B3E37A6B-69AA-B0F6-0D9B-F27285C28277}"/>
            </a:ext>
          </a:extLst>
        </xdr:cNvPr>
        <xdr:cNvSpPr/>
      </xdr:nvSpPr>
      <xdr:spPr>
        <a:xfrm>
          <a:off x="3116716" y="1882548"/>
          <a:ext cx="1684564" cy="850445"/>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t>Generate Financial Data</a:t>
          </a:r>
        </a:p>
      </xdr:txBody>
    </xdr:sp>
    <xdr:clientData/>
  </xdr:twoCellAnchor>
  <xdr:twoCellAnchor>
    <xdr:from>
      <xdr:col>16</xdr:col>
      <xdr:colOff>639536</xdr:colOff>
      <xdr:row>5</xdr:row>
      <xdr:rowOff>20410</xdr:rowOff>
    </xdr:from>
    <xdr:to>
      <xdr:col>18</xdr:col>
      <xdr:colOff>1707695</xdr:colOff>
      <xdr:row>7</xdr:row>
      <xdr:rowOff>503465</xdr:rowOff>
    </xdr:to>
    <xdr:sp macro="[0]!Goals_Output" textlink="">
      <xdr:nvSpPr>
        <xdr:cNvPr id="5" name="Rectangle: Rounded Corners 4">
          <a:extLst>
            <a:ext uri="{FF2B5EF4-FFF2-40B4-BE49-F238E27FC236}">
              <a16:creationId xmlns:a16="http://schemas.microsoft.com/office/drawing/2014/main" id="{D7AECECA-3E0B-43CB-B32D-75CB99A30C3F}"/>
            </a:ext>
          </a:extLst>
        </xdr:cNvPr>
        <xdr:cNvSpPr/>
      </xdr:nvSpPr>
      <xdr:spPr>
        <a:xfrm>
          <a:off x="23744465" y="1884589"/>
          <a:ext cx="4265837" cy="850447"/>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t>Generate</a:t>
          </a:r>
          <a:r>
            <a:rPr lang="en-CA" sz="1600" b="1" baseline="0"/>
            <a:t> Goals in Visuals</a:t>
          </a:r>
          <a:endParaRPr lang="en-CA" sz="1600" b="1"/>
        </a:p>
      </xdr:txBody>
    </xdr:sp>
    <xdr:clientData/>
  </xdr:twoCellAnchor>
  <xdr:twoCellAnchor>
    <xdr:from>
      <xdr:col>21</xdr:col>
      <xdr:colOff>170089</xdr:colOff>
      <xdr:row>4</xdr:row>
      <xdr:rowOff>175531</xdr:rowOff>
    </xdr:from>
    <xdr:to>
      <xdr:col>23</xdr:col>
      <xdr:colOff>551089</xdr:colOff>
      <xdr:row>7</xdr:row>
      <xdr:rowOff>474890</xdr:rowOff>
    </xdr:to>
    <xdr:sp macro="[0]!AdviceOutput" textlink="">
      <xdr:nvSpPr>
        <xdr:cNvPr id="6" name="Rectangle: Rounded Corners 5">
          <a:extLst>
            <a:ext uri="{FF2B5EF4-FFF2-40B4-BE49-F238E27FC236}">
              <a16:creationId xmlns:a16="http://schemas.microsoft.com/office/drawing/2014/main" id="{E198778B-E09D-46EE-88CA-4A11860E264C}"/>
            </a:ext>
          </a:extLst>
        </xdr:cNvPr>
        <xdr:cNvSpPr/>
      </xdr:nvSpPr>
      <xdr:spPr>
        <a:xfrm>
          <a:off x="29888089" y="1856014"/>
          <a:ext cx="3340554" cy="850447"/>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t>Generate</a:t>
          </a:r>
          <a:r>
            <a:rPr lang="en-CA" sz="1600" b="1" baseline="0"/>
            <a:t> Advice</a:t>
          </a:r>
          <a:endParaRPr lang="en-CA" sz="1600" b="1"/>
        </a:p>
      </xdr:txBody>
    </xdr:sp>
    <xdr:clientData/>
  </xdr:twoCellAnchor>
  <xdr:twoCellAnchor>
    <xdr:from>
      <xdr:col>6</xdr:col>
      <xdr:colOff>501761</xdr:colOff>
      <xdr:row>8</xdr:row>
      <xdr:rowOff>71437</xdr:rowOff>
    </xdr:from>
    <xdr:to>
      <xdr:col>6</xdr:col>
      <xdr:colOff>5073761</xdr:colOff>
      <xdr:row>16</xdr:row>
      <xdr:rowOff>122463</xdr:rowOff>
    </xdr:to>
    <xdr:graphicFrame macro="">
      <xdr:nvGraphicFramePr>
        <xdr:cNvPr id="9" name="Chart 8">
          <a:extLst>
            <a:ext uri="{FF2B5EF4-FFF2-40B4-BE49-F238E27FC236}">
              <a16:creationId xmlns:a16="http://schemas.microsoft.com/office/drawing/2014/main" id="{20A32CC2-6B08-B8F9-D8A7-E023088FA7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285749</xdr:colOff>
      <xdr:row>8</xdr:row>
      <xdr:rowOff>491215</xdr:rowOff>
    </xdr:from>
    <xdr:to>
      <xdr:col>8</xdr:col>
      <xdr:colOff>5293859</xdr:colOff>
      <xdr:row>18</xdr:row>
      <xdr:rowOff>6803</xdr:rowOff>
    </xdr:to>
    <xdr:graphicFrame macro="">
      <xdr:nvGraphicFramePr>
        <xdr:cNvPr id="7" name="Chart 6">
          <a:extLst>
            <a:ext uri="{FF2B5EF4-FFF2-40B4-BE49-F238E27FC236}">
              <a16:creationId xmlns:a16="http://schemas.microsoft.com/office/drawing/2014/main" id="{94A770F1-38DF-54DC-B155-CACED8AF5B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503462</xdr:colOff>
      <xdr:row>5</xdr:row>
      <xdr:rowOff>20409</xdr:rowOff>
    </xdr:from>
    <xdr:to>
      <xdr:col>6</xdr:col>
      <xdr:colOff>4925784</xdr:colOff>
      <xdr:row>7</xdr:row>
      <xdr:rowOff>646339</xdr:rowOff>
    </xdr:to>
    <xdr:sp macro="" textlink="">
      <xdr:nvSpPr>
        <xdr:cNvPr id="8" name="Rectangle: Rounded Corners 7">
          <a:extLst>
            <a:ext uri="{FF2B5EF4-FFF2-40B4-BE49-F238E27FC236}">
              <a16:creationId xmlns:a16="http://schemas.microsoft.com/office/drawing/2014/main" id="{AB07359C-130F-2FE1-EA40-70E16E8250BB}"/>
            </a:ext>
          </a:extLst>
        </xdr:cNvPr>
        <xdr:cNvSpPr/>
      </xdr:nvSpPr>
      <xdr:spPr>
        <a:xfrm>
          <a:off x="9735909" y="1884588"/>
          <a:ext cx="4422322" cy="993322"/>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i="0" u="none" strike="noStrike">
              <a:solidFill>
                <a:schemeClr val="lt1"/>
              </a:solidFill>
              <a:effectLst/>
              <a:latin typeface="+mn-lt"/>
              <a:ea typeface="+mn-ea"/>
              <a:cs typeface="+mn-cs"/>
            </a:rPr>
            <a:t>This</a:t>
          </a:r>
          <a:r>
            <a:rPr lang="en-CA" sz="1600" b="1" i="0" u="none" strike="noStrike" baseline="0">
              <a:solidFill>
                <a:schemeClr val="lt1"/>
              </a:solidFill>
              <a:effectLst/>
              <a:latin typeface="+mn-lt"/>
              <a:ea typeface="+mn-ea"/>
              <a:cs typeface="+mn-cs"/>
            </a:rPr>
            <a:t> chart displays your expenses and income for the selected month</a:t>
          </a:r>
          <a:endParaRPr lang="en-CA" sz="1600" b="1"/>
        </a:p>
      </xdr:txBody>
    </xdr:sp>
    <xdr:clientData/>
  </xdr:twoCellAnchor>
  <xdr:twoCellAnchor>
    <xdr:from>
      <xdr:col>8</xdr:col>
      <xdr:colOff>489858</xdr:colOff>
      <xdr:row>5</xdr:row>
      <xdr:rowOff>13606</xdr:rowOff>
    </xdr:from>
    <xdr:to>
      <xdr:col>8</xdr:col>
      <xdr:colOff>4912180</xdr:colOff>
      <xdr:row>7</xdr:row>
      <xdr:rowOff>639536</xdr:rowOff>
    </xdr:to>
    <xdr:sp macro="" textlink="">
      <xdr:nvSpPr>
        <xdr:cNvPr id="10" name="Rectangle: Rounded Corners 9">
          <a:extLst>
            <a:ext uri="{FF2B5EF4-FFF2-40B4-BE49-F238E27FC236}">
              <a16:creationId xmlns:a16="http://schemas.microsoft.com/office/drawing/2014/main" id="{D7DB54AF-E676-4A3F-B5BE-E85BE09AFFE9}"/>
            </a:ext>
          </a:extLst>
        </xdr:cNvPr>
        <xdr:cNvSpPr/>
      </xdr:nvSpPr>
      <xdr:spPr>
        <a:xfrm>
          <a:off x="16689162" y="1877785"/>
          <a:ext cx="4422322" cy="993322"/>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i="0" u="none" strike="noStrike">
              <a:solidFill>
                <a:schemeClr val="lt1"/>
              </a:solidFill>
              <a:effectLst/>
              <a:latin typeface="+mn-lt"/>
              <a:ea typeface="+mn-ea"/>
              <a:cs typeface="+mn-cs"/>
            </a:rPr>
            <a:t>This</a:t>
          </a:r>
          <a:r>
            <a:rPr lang="en-CA" sz="1600" b="1" i="0" u="none" strike="noStrike" baseline="0">
              <a:solidFill>
                <a:schemeClr val="lt1"/>
              </a:solidFill>
              <a:effectLst/>
              <a:latin typeface="+mn-lt"/>
              <a:ea typeface="+mn-ea"/>
              <a:cs typeface="+mn-cs"/>
            </a:rPr>
            <a:t> line graph predicts your future month expenses and income based off your past three months habits</a:t>
          </a:r>
          <a:endParaRPr lang="en-CA" sz="1600" b="1"/>
        </a:p>
      </xdr:txBody>
    </xdr:sp>
    <xdr:clientData/>
  </xdr:twoCellAnchor>
  <xdr:twoCellAnchor>
    <xdr:from>
      <xdr:col>6</xdr:col>
      <xdr:colOff>591912</xdr:colOff>
      <xdr:row>16</xdr:row>
      <xdr:rowOff>258536</xdr:rowOff>
    </xdr:from>
    <xdr:to>
      <xdr:col>6</xdr:col>
      <xdr:colOff>5014234</xdr:colOff>
      <xdr:row>21</xdr:row>
      <xdr:rowOff>197305</xdr:rowOff>
    </xdr:to>
    <xdr:sp macro="" textlink="">
      <xdr:nvSpPr>
        <xdr:cNvPr id="11" name="Rectangle: Rounded Corners 10">
          <a:extLst>
            <a:ext uri="{FF2B5EF4-FFF2-40B4-BE49-F238E27FC236}">
              <a16:creationId xmlns:a16="http://schemas.microsoft.com/office/drawing/2014/main" id="{6F0A9094-25AB-440C-B062-F56CA0D0DBD4}"/>
            </a:ext>
          </a:extLst>
        </xdr:cNvPr>
        <xdr:cNvSpPr/>
      </xdr:nvSpPr>
      <xdr:spPr>
        <a:xfrm>
          <a:off x="9824359" y="6116412"/>
          <a:ext cx="4422322" cy="1408340"/>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t>This</a:t>
          </a:r>
          <a:r>
            <a:rPr lang="en-CA" sz="1600" b="1" baseline="0"/>
            <a:t> pie chart gives an income and expense breakdown </a:t>
          </a:r>
          <a:endParaRPr lang="en-CA" sz="1600" b="1"/>
        </a:p>
      </xdr:txBody>
    </xdr:sp>
    <xdr:clientData/>
  </xdr:twoCellAnchor>
  <xdr:twoCellAnchor>
    <xdr:from>
      <xdr:col>6</xdr:col>
      <xdr:colOff>466043</xdr:colOff>
      <xdr:row>22</xdr:row>
      <xdr:rowOff>125185</xdr:rowOff>
    </xdr:from>
    <xdr:to>
      <xdr:col>6</xdr:col>
      <xdr:colOff>5038043</xdr:colOff>
      <xdr:row>33</xdr:row>
      <xdr:rowOff>265338</xdr:rowOff>
    </xdr:to>
    <xdr:graphicFrame macro="">
      <xdr:nvGraphicFramePr>
        <xdr:cNvPr id="12" name="Chart 11">
          <a:extLst>
            <a:ext uri="{FF2B5EF4-FFF2-40B4-BE49-F238E27FC236}">
              <a16:creationId xmlns:a16="http://schemas.microsoft.com/office/drawing/2014/main" id="{77D506C5-1373-48DE-C74C-6298A6E5BF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104775</xdr:colOff>
          <xdr:row>9</xdr:row>
          <xdr:rowOff>171450</xdr:rowOff>
        </xdr:from>
        <xdr:to>
          <xdr:col>10</xdr:col>
          <xdr:colOff>271463</xdr:colOff>
          <xdr:row>11</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47625</xdr:colOff>
          <xdr:row>5</xdr:row>
          <xdr:rowOff>166688</xdr:rowOff>
        </xdr:from>
        <xdr:to>
          <xdr:col>10</xdr:col>
          <xdr:colOff>195263</xdr:colOff>
          <xdr:row>7</xdr:row>
          <xdr:rowOff>157163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ea typeface="Calibri"/>
                  <a:cs typeface="Calibri"/>
                </a:rPr>
                <a:t>Add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590550</xdr:colOff>
      <xdr:row>2</xdr:row>
      <xdr:rowOff>133350</xdr:rowOff>
    </xdr:from>
    <xdr:to>
      <xdr:col>9</xdr:col>
      <xdr:colOff>171450</xdr:colOff>
      <xdr:row>6</xdr:row>
      <xdr:rowOff>85725</xdr:rowOff>
    </xdr:to>
    <xdr:sp macro="[0]!Show_AddGoalForm" textlink="">
      <xdr:nvSpPr>
        <xdr:cNvPr id="2" name="Rectangle: Rounded Corners 1">
          <a:extLst>
            <a:ext uri="{FF2B5EF4-FFF2-40B4-BE49-F238E27FC236}">
              <a16:creationId xmlns:a16="http://schemas.microsoft.com/office/drawing/2014/main" id="{44784B19-7285-C3D8-F168-6E873A98EC18}"/>
            </a:ext>
          </a:extLst>
        </xdr:cNvPr>
        <xdr:cNvSpPr/>
      </xdr:nvSpPr>
      <xdr:spPr>
        <a:xfrm>
          <a:off x="7991475" y="495300"/>
          <a:ext cx="2095500" cy="676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Add</a:t>
          </a:r>
          <a:r>
            <a:rPr lang="en-CA" sz="1100" baseline="0"/>
            <a:t> Financial Goals</a:t>
          </a:r>
          <a:endParaRPr lang="en-CA" sz="1100"/>
        </a:p>
      </xdr:txBody>
    </xdr:sp>
    <xdr:clientData/>
  </xdr:twoCellAnchor>
  <xdr:twoCellAnchor>
    <xdr:from>
      <xdr:col>6</xdr:col>
      <xdr:colOff>0</xdr:colOff>
      <xdr:row>8</xdr:row>
      <xdr:rowOff>0</xdr:rowOff>
    </xdr:from>
    <xdr:to>
      <xdr:col>9</xdr:col>
      <xdr:colOff>209550</xdr:colOff>
      <xdr:row>11</xdr:row>
      <xdr:rowOff>133350</xdr:rowOff>
    </xdr:to>
    <xdr:sp macro="[0]!ClearGoals" textlink="">
      <xdr:nvSpPr>
        <xdr:cNvPr id="4" name="Rectangle: Rounded Corners 3">
          <a:extLst>
            <a:ext uri="{FF2B5EF4-FFF2-40B4-BE49-F238E27FC236}">
              <a16:creationId xmlns:a16="http://schemas.microsoft.com/office/drawing/2014/main" id="{B98492D1-AE0C-4A74-A314-6C4BCE258D0D}"/>
            </a:ext>
          </a:extLst>
        </xdr:cNvPr>
        <xdr:cNvSpPr/>
      </xdr:nvSpPr>
      <xdr:spPr>
        <a:xfrm>
          <a:off x="8029575" y="1447800"/>
          <a:ext cx="2095500" cy="676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Clear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en Li" refreshedDate="45988.051296064812" createdVersion="8" refreshedVersion="8" minRefreshableVersion="3" recordCount="43" xr:uid="{3962D175-841A-494B-B85C-AE7C4F53D71E}">
  <cacheSource type="worksheet">
    <worksheetSource name="piechart"/>
  </cacheSource>
  <cacheFields count="2">
    <cacheField name="item1" numFmtId="0">
      <sharedItems containsBlank="1" count="5">
        <s v=""/>
        <s v="job"/>
        <s v="water"/>
        <s v="gas"/>
        <m/>
      </sharedItems>
    </cacheField>
    <cacheField name="amount2" numFmtId="0">
      <sharedItems containsMixedTypes="1" containsNumber="1" containsInteger="1" minValue="300" maxValue="1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s v=""/>
  </r>
  <r>
    <x v="0"/>
    <s v=""/>
  </r>
  <r>
    <x v="0"/>
    <s v=""/>
  </r>
  <r>
    <x v="0"/>
    <s v=""/>
  </r>
  <r>
    <x v="0"/>
    <s v=""/>
  </r>
  <r>
    <x v="0"/>
    <s v=""/>
  </r>
  <r>
    <x v="0"/>
    <s v=""/>
  </r>
  <r>
    <x v="0"/>
    <s v=""/>
  </r>
  <r>
    <x v="0"/>
    <s v=""/>
  </r>
  <r>
    <x v="0"/>
    <s v=""/>
  </r>
  <r>
    <x v="0"/>
    <s v=""/>
  </r>
  <r>
    <x v="0"/>
    <s v=""/>
  </r>
  <r>
    <x v="0"/>
    <s v=""/>
  </r>
  <r>
    <x v="0"/>
    <s v=""/>
  </r>
  <r>
    <x v="0"/>
    <s v=""/>
  </r>
  <r>
    <x v="0"/>
    <s v=""/>
  </r>
  <r>
    <x v="0"/>
    <s v=""/>
  </r>
  <r>
    <x v="1"/>
    <n v="300"/>
  </r>
  <r>
    <x v="1"/>
    <n v="1200"/>
  </r>
  <r>
    <x v="2"/>
    <n v="1200"/>
  </r>
  <r>
    <x v="3"/>
    <n v="340"/>
  </r>
  <r>
    <x v="0"/>
    <s v=""/>
  </r>
  <r>
    <x v="0"/>
    <s v=""/>
  </r>
  <r>
    <x v="0"/>
    <s v=""/>
  </r>
  <r>
    <x v="0"/>
    <s v=""/>
  </r>
  <r>
    <x v="0"/>
    <s v=""/>
  </r>
  <r>
    <x v="0"/>
    <s v=""/>
  </r>
  <r>
    <x v="0"/>
    <s v=""/>
  </r>
  <r>
    <x v="0"/>
    <s v=""/>
  </r>
  <r>
    <x v="0"/>
    <s v=""/>
  </r>
  <r>
    <x v="0"/>
    <s v=""/>
  </r>
  <r>
    <x v="0"/>
    <s v=""/>
  </r>
  <r>
    <x v="0"/>
    <s v=""/>
  </r>
  <r>
    <x v="0"/>
    <s v=""/>
  </r>
  <r>
    <x v="0"/>
    <s v=""/>
  </r>
  <r>
    <x v="0"/>
    <s v=""/>
  </r>
  <r>
    <x v="0"/>
    <s v=""/>
  </r>
  <r>
    <x v="0"/>
    <s v=""/>
  </r>
  <r>
    <x v="0"/>
    <s v=""/>
  </r>
  <r>
    <x v="0"/>
    <s v=""/>
  </r>
  <r>
    <x v="0"/>
    <s v=""/>
  </r>
  <r>
    <x v="0"/>
    <s v=""/>
  </r>
  <r>
    <x v="4"/>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9B8181-263F-4513-8181-E28A1F2FAB8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P23:Q29" firstHeaderRow="1" firstDataRow="1" firstDataCol="1"/>
  <pivotFields count="2">
    <pivotField axis="axisRow" showAll="0">
      <items count="6">
        <item x="0"/>
        <item x="3"/>
        <item x="1"/>
        <item x="2"/>
        <item x="4"/>
        <item t="default"/>
      </items>
    </pivotField>
    <pivotField dataField="1" showAll="0"/>
  </pivotFields>
  <rowFields count="1">
    <field x="0"/>
  </rowFields>
  <rowItems count="6">
    <i>
      <x/>
    </i>
    <i>
      <x v="1"/>
    </i>
    <i>
      <x v="2"/>
    </i>
    <i>
      <x v="3"/>
    </i>
    <i>
      <x v="4"/>
    </i>
    <i t="grand">
      <x/>
    </i>
  </rowItems>
  <colItems count="1">
    <i/>
  </colItems>
  <dataFields count="1">
    <dataField name="Sum of amount2" fld="1" baseField="0" baseItem="0"/>
  </dataFields>
  <chartFormats count="14">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0" count="1" selected="0">
            <x v="4"/>
          </reference>
        </references>
      </pivotArea>
    </chartFormat>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ED2762A-4817-4F48-8FC2-0A70A8184CC6}" name="Table3" displayName="Table3" ref="B11:E20" totalsRowShown="0" headerRowDxfId="21" dataDxfId="20" tableBorderDxfId="19">
  <autoFilter ref="B11:E20" xr:uid="{EED2762A-4817-4F48-8FC2-0A70A8184CC6}"/>
  <tableColumns count="4">
    <tableColumn id="1" xr3:uid="{B9436825-54F4-409C-A6CB-D15D2016C3C5}" name="Income" dataDxfId="18"/>
    <tableColumn id="2" xr3:uid="{6F09E622-6EF6-4B94-AA7D-76BEC490D939}" name="Amount" dataDxfId="17"/>
    <tableColumn id="3" xr3:uid="{C374F151-F555-4512-A7A1-59266A836CC9}" name="Expenses" dataDxfId="16"/>
    <tableColumn id="4" xr3:uid="{E76E1F1A-3BA7-4D80-80A9-A141A0AAB1A3}" name="Amount: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62B0FE-A8DD-4BE5-9887-AC3E94445C95}" name="projection_table" displayName="projection_table" ref="L3:N46" totalsRowShown="0" headerRowDxfId="14" tableBorderDxfId="13">
  <autoFilter ref="L3:N46" xr:uid="{E562B0FE-A8DD-4BE5-9887-AC3E94445C95}"/>
  <tableColumns count="3">
    <tableColumn id="1" xr3:uid="{F670069D-5A10-49F3-9CF6-617B138E09B7}" name="date1" dataDxfId="12">
      <calculatedColumnFormula>A2</calculatedColumnFormula>
    </tableColumn>
    <tableColumn id="2" xr3:uid="{F938CD29-9311-4356-90DB-E26C260741A5}" name="income" dataDxfId="11">
      <calculatedColumnFormula>IF(C2="income", D2, 0)</calculatedColumnFormula>
    </tableColumn>
    <tableColumn id="3" xr3:uid="{1F0A67CB-573E-4845-A64B-0FFDBBF2A0A6}" name="expense" dataDxfId="10">
      <calculatedColumnFormula>IF(C2&lt;&gt;"income", D2, 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EC8B090-B1DD-40F7-A1F8-598A4F0BABFD}" name="exoebses_incomes" displayName="exoebses_incomes" ref="A1:D44" totalsRowShown="0" headerRowDxfId="9" dataDxfId="8" tableBorderDxfId="7" headerRowCellStyle="Accent5">
  <autoFilter ref="A1:D44" xr:uid="{FEC8B090-B1DD-40F7-A1F8-598A4F0BABFD}"/>
  <tableColumns count="4">
    <tableColumn id="1" xr3:uid="{E6A7D8BD-E9C2-4B31-9166-E7ED13858A81}" name="Date" dataDxfId="6"/>
    <tableColumn id="2" xr3:uid="{E6377E79-2C73-48DC-8EFC-4332F9E1BA99}" name="Item" dataDxfId="5"/>
    <tableColumn id="3" xr3:uid="{0BEAF970-A924-4695-B4B8-DAC05478724C}" name="Category" dataDxfId="4"/>
    <tableColumn id="4" xr3:uid="{C1F8A9FC-29BD-45DA-A53A-132BBDFF7690}" name="Amount ($)" dataDxf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0732B-4918-47D2-84D7-FDC3A6645310}" name="piechart" displayName="piechart" ref="E1:F44" totalsRowShown="0" headerRowDxfId="2" tableBorderDxfId="1" headerRowCellStyle="Accent5">
  <autoFilter ref="E1:F44" xr:uid="{2840732B-4918-47D2-84D7-FDC3A6645310}"/>
  <tableColumns count="2">
    <tableColumn id="1" xr3:uid="{7E1432B1-402D-44BE-B6FA-7EBECC128C88}" name="item1" dataDxfId="0"/>
    <tableColumn id="2" xr3:uid="{D3AABC39-3AB4-4400-AABD-30B244E5B3B4}" name="amount2">
      <calculatedColumnFormula>IF(TEXT($A2,"yyyymm") = TEXT($Q$18,"yyyymm"), $D2,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2.xml"/><Relationship Id="rId7" Type="http://schemas.openxmlformats.org/officeDocument/2006/relationships/table" Target="../tables/table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38056-225B-4D56-A582-3E9660DCAAB8}">
  <sheetPr codeName="Sheet5"/>
  <dimension ref="A1:K40"/>
  <sheetViews>
    <sheetView tabSelected="1" topLeftCell="A3" workbookViewId="0">
      <selection activeCell="B7" sqref="B7:J36"/>
    </sheetView>
  </sheetViews>
  <sheetFormatPr defaultRowHeight="14.25" x14ac:dyDescent="0.45"/>
  <sheetData>
    <row r="1" spans="1:11" hidden="1" x14ac:dyDescent="0.45">
      <c r="B1" s="2"/>
    </row>
    <row r="2" spans="1:11" ht="6.4" hidden="1" customHeight="1" x14ac:dyDescent="0.45"/>
    <row r="3" spans="1:11" ht="54.75" customHeight="1" x14ac:dyDescent="0.45">
      <c r="A3" s="10"/>
      <c r="B3" s="67" t="s">
        <v>67</v>
      </c>
      <c r="C3" s="67"/>
      <c r="D3" s="67"/>
      <c r="E3" s="67"/>
      <c r="F3" s="67"/>
      <c r="G3" s="67"/>
      <c r="H3" s="10"/>
      <c r="I3" s="10"/>
      <c r="J3" s="10"/>
      <c r="K3" s="10"/>
    </row>
    <row r="4" spans="1:11" hidden="1" x14ac:dyDescent="0.45">
      <c r="A4" s="10"/>
      <c r="B4" s="10"/>
      <c r="C4" s="10"/>
      <c r="D4" s="10"/>
      <c r="E4" s="10"/>
      <c r="F4" s="10"/>
      <c r="G4" s="10"/>
      <c r="H4" s="10"/>
      <c r="I4" s="10"/>
      <c r="J4" s="10"/>
      <c r="K4" s="10"/>
    </row>
    <row r="5" spans="1:11" ht="37.5" customHeight="1" x14ac:dyDescent="0.45">
      <c r="A5" s="10"/>
      <c r="B5" s="69" t="s">
        <v>68</v>
      </c>
      <c r="C5" s="69"/>
      <c r="D5" s="69"/>
      <c r="E5" s="69"/>
      <c r="F5" s="69"/>
      <c r="G5" s="69"/>
      <c r="H5" s="10"/>
      <c r="I5" s="10"/>
      <c r="J5" s="10"/>
      <c r="K5" s="10"/>
    </row>
    <row r="6" spans="1:11" x14ac:dyDescent="0.45">
      <c r="A6" s="10"/>
      <c r="B6" s="10"/>
      <c r="C6" s="10"/>
      <c r="D6" s="10"/>
      <c r="E6" s="10"/>
      <c r="F6" s="10"/>
      <c r="G6" s="10"/>
      <c r="H6" s="10"/>
      <c r="I6" s="10"/>
      <c r="J6" s="10"/>
      <c r="K6" s="10"/>
    </row>
    <row r="7" spans="1:11" ht="15.75" customHeight="1" x14ac:dyDescent="0.45">
      <c r="A7" s="10"/>
      <c r="B7" s="68" t="s">
        <v>69</v>
      </c>
      <c r="C7" s="68"/>
      <c r="D7" s="68"/>
      <c r="E7" s="68"/>
      <c r="F7" s="68"/>
      <c r="G7" s="68"/>
      <c r="H7" s="68"/>
      <c r="I7" s="68"/>
      <c r="J7" s="68"/>
      <c r="K7" s="10"/>
    </row>
    <row r="8" spans="1:11" ht="15.75" customHeight="1" x14ac:dyDescent="0.45">
      <c r="A8" s="10"/>
      <c r="B8" s="68"/>
      <c r="C8" s="68"/>
      <c r="D8" s="68"/>
      <c r="E8" s="68"/>
      <c r="F8" s="68"/>
      <c r="G8" s="68"/>
      <c r="H8" s="68"/>
      <c r="I8" s="68"/>
      <c r="J8" s="68"/>
      <c r="K8" s="10"/>
    </row>
    <row r="9" spans="1:11" ht="15.75" customHeight="1" x14ac:dyDescent="0.45">
      <c r="A9" s="10"/>
      <c r="B9" s="68"/>
      <c r="C9" s="68"/>
      <c r="D9" s="68"/>
      <c r="E9" s="68"/>
      <c r="F9" s="68"/>
      <c r="G9" s="68"/>
      <c r="H9" s="68"/>
      <c r="I9" s="68"/>
      <c r="J9" s="68"/>
      <c r="K9" s="10"/>
    </row>
    <row r="10" spans="1:11" ht="15.75" customHeight="1" x14ac:dyDescent="0.45">
      <c r="A10" s="10"/>
      <c r="B10" s="68"/>
      <c r="C10" s="68"/>
      <c r="D10" s="68"/>
      <c r="E10" s="68"/>
      <c r="F10" s="68"/>
      <c r="G10" s="68"/>
      <c r="H10" s="68"/>
      <c r="I10" s="68"/>
      <c r="J10" s="68"/>
      <c r="K10" s="10"/>
    </row>
    <row r="11" spans="1:11" ht="15.75" customHeight="1" x14ac:dyDescent="0.45">
      <c r="A11" s="10"/>
      <c r="B11" s="68"/>
      <c r="C11" s="68"/>
      <c r="D11" s="68"/>
      <c r="E11" s="68"/>
      <c r="F11" s="68"/>
      <c r="G11" s="68"/>
      <c r="H11" s="68"/>
      <c r="I11" s="68"/>
      <c r="J11" s="68"/>
      <c r="K11" s="10"/>
    </row>
    <row r="12" spans="1:11" ht="15.75" customHeight="1" x14ac:dyDescent="0.45">
      <c r="A12" s="10"/>
      <c r="B12" s="68"/>
      <c r="C12" s="68"/>
      <c r="D12" s="68"/>
      <c r="E12" s="68"/>
      <c r="F12" s="68"/>
      <c r="G12" s="68"/>
      <c r="H12" s="68"/>
      <c r="I12" s="68"/>
      <c r="J12" s="68"/>
      <c r="K12" s="10"/>
    </row>
    <row r="13" spans="1:11" ht="15.75" customHeight="1" x14ac:dyDescent="0.45">
      <c r="A13" s="10"/>
      <c r="B13" s="68"/>
      <c r="C13" s="68"/>
      <c r="D13" s="68"/>
      <c r="E13" s="68"/>
      <c r="F13" s="68"/>
      <c r="G13" s="68"/>
      <c r="H13" s="68"/>
      <c r="I13" s="68"/>
      <c r="J13" s="68"/>
      <c r="K13" s="10"/>
    </row>
    <row r="14" spans="1:11" ht="15.75" customHeight="1" x14ac:dyDescent="0.45">
      <c r="A14" s="10"/>
      <c r="B14" s="68"/>
      <c r="C14" s="68"/>
      <c r="D14" s="68"/>
      <c r="E14" s="68"/>
      <c r="F14" s="68"/>
      <c r="G14" s="68"/>
      <c r="H14" s="68"/>
      <c r="I14" s="68"/>
      <c r="J14" s="68"/>
      <c r="K14" s="10"/>
    </row>
    <row r="15" spans="1:11" ht="15.75" customHeight="1" x14ac:dyDescent="0.45">
      <c r="A15" s="10"/>
      <c r="B15" s="68"/>
      <c r="C15" s="68"/>
      <c r="D15" s="68"/>
      <c r="E15" s="68"/>
      <c r="F15" s="68"/>
      <c r="G15" s="68"/>
      <c r="H15" s="68"/>
      <c r="I15" s="68"/>
      <c r="J15" s="68"/>
      <c r="K15" s="10"/>
    </row>
    <row r="16" spans="1:11" x14ac:dyDescent="0.45">
      <c r="A16" s="10"/>
      <c r="B16" s="68"/>
      <c r="C16" s="68"/>
      <c r="D16" s="68"/>
      <c r="E16" s="68"/>
      <c r="F16" s="68"/>
      <c r="G16" s="68"/>
      <c r="H16" s="68"/>
      <c r="I16" s="68"/>
      <c r="J16" s="68"/>
      <c r="K16" s="10"/>
    </row>
    <row r="17" spans="1:11" x14ac:dyDescent="0.45">
      <c r="A17" s="10"/>
      <c r="B17" s="68"/>
      <c r="C17" s="68"/>
      <c r="D17" s="68"/>
      <c r="E17" s="68"/>
      <c r="F17" s="68"/>
      <c r="G17" s="68"/>
      <c r="H17" s="68"/>
      <c r="I17" s="68"/>
      <c r="J17" s="68"/>
      <c r="K17" s="10"/>
    </row>
    <row r="18" spans="1:11" x14ac:dyDescent="0.45">
      <c r="A18" s="10"/>
      <c r="B18" s="68"/>
      <c r="C18" s="68"/>
      <c r="D18" s="68"/>
      <c r="E18" s="68"/>
      <c r="F18" s="68"/>
      <c r="G18" s="68"/>
      <c r="H18" s="68"/>
      <c r="I18" s="68"/>
      <c r="J18" s="68"/>
      <c r="K18" s="10"/>
    </row>
    <row r="19" spans="1:11" x14ac:dyDescent="0.45">
      <c r="A19" s="10"/>
      <c r="B19" s="68"/>
      <c r="C19" s="68"/>
      <c r="D19" s="68"/>
      <c r="E19" s="68"/>
      <c r="F19" s="68"/>
      <c r="G19" s="68"/>
      <c r="H19" s="68"/>
      <c r="I19" s="68"/>
      <c r="J19" s="68"/>
      <c r="K19" s="10"/>
    </row>
    <row r="20" spans="1:11" x14ac:dyDescent="0.45">
      <c r="A20" s="10"/>
      <c r="B20" s="68"/>
      <c r="C20" s="68"/>
      <c r="D20" s="68"/>
      <c r="E20" s="68"/>
      <c r="F20" s="68"/>
      <c r="G20" s="68"/>
      <c r="H20" s="68"/>
      <c r="I20" s="68"/>
      <c r="J20" s="68"/>
      <c r="K20" s="10"/>
    </row>
    <row r="21" spans="1:11" x14ac:dyDescent="0.45">
      <c r="A21" s="10"/>
      <c r="B21" s="68"/>
      <c r="C21" s="68"/>
      <c r="D21" s="68"/>
      <c r="E21" s="68"/>
      <c r="F21" s="68"/>
      <c r="G21" s="68"/>
      <c r="H21" s="68"/>
      <c r="I21" s="68"/>
      <c r="J21" s="68"/>
      <c r="K21" s="10"/>
    </row>
    <row r="22" spans="1:11" x14ac:dyDescent="0.45">
      <c r="A22" s="10"/>
      <c r="B22" s="68"/>
      <c r="C22" s="68"/>
      <c r="D22" s="68"/>
      <c r="E22" s="68"/>
      <c r="F22" s="68"/>
      <c r="G22" s="68"/>
      <c r="H22" s="68"/>
      <c r="I22" s="68"/>
      <c r="J22" s="68"/>
      <c r="K22" s="10"/>
    </row>
    <row r="23" spans="1:11" x14ac:dyDescent="0.45">
      <c r="A23" s="10"/>
      <c r="B23" s="68"/>
      <c r="C23" s="68"/>
      <c r="D23" s="68"/>
      <c r="E23" s="68"/>
      <c r="F23" s="68"/>
      <c r="G23" s="68"/>
      <c r="H23" s="68"/>
      <c r="I23" s="68"/>
      <c r="J23" s="68"/>
      <c r="K23" s="10"/>
    </row>
    <row r="24" spans="1:11" x14ac:dyDescent="0.45">
      <c r="A24" s="10"/>
      <c r="B24" s="68"/>
      <c r="C24" s="68"/>
      <c r="D24" s="68"/>
      <c r="E24" s="68"/>
      <c r="F24" s="68"/>
      <c r="G24" s="68"/>
      <c r="H24" s="68"/>
      <c r="I24" s="68"/>
      <c r="J24" s="68"/>
      <c r="K24" s="10"/>
    </row>
    <row r="25" spans="1:11" x14ac:dyDescent="0.45">
      <c r="A25" s="10"/>
      <c r="B25" s="68"/>
      <c r="C25" s="68"/>
      <c r="D25" s="68"/>
      <c r="E25" s="68"/>
      <c r="F25" s="68"/>
      <c r="G25" s="68"/>
      <c r="H25" s="68"/>
      <c r="I25" s="68"/>
      <c r="J25" s="68"/>
      <c r="K25" s="10"/>
    </row>
    <row r="26" spans="1:11" x14ac:dyDescent="0.45">
      <c r="A26" s="10"/>
      <c r="B26" s="68"/>
      <c r="C26" s="68"/>
      <c r="D26" s="68"/>
      <c r="E26" s="68"/>
      <c r="F26" s="68"/>
      <c r="G26" s="68"/>
      <c r="H26" s="68"/>
      <c r="I26" s="68"/>
      <c r="J26" s="68"/>
      <c r="K26" s="10"/>
    </row>
    <row r="27" spans="1:11" x14ac:dyDescent="0.45">
      <c r="A27" s="10"/>
      <c r="B27" s="68"/>
      <c r="C27" s="68"/>
      <c r="D27" s="68"/>
      <c r="E27" s="68"/>
      <c r="F27" s="68"/>
      <c r="G27" s="68"/>
      <c r="H27" s="68"/>
      <c r="I27" s="68"/>
      <c r="J27" s="68"/>
      <c r="K27" s="10"/>
    </row>
    <row r="28" spans="1:11" x14ac:dyDescent="0.45">
      <c r="A28" s="10"/>
      <c r="B28" s="68"/>
      <c r="C28" s="68"/>
      <c r="D28" s="68"/>
      <c r="E28" s="68"/>
      <c r="F28" s="68"/>
      <c r="G28" s="68"/>
      <c r="H28" s="68"/>
      <c r="I28" s="68"/>
      <c r="J28" s="68"/>
      <c r="K28" s="10"/>
    </row>
    <row r="29" spans="1:11" x14ac:dyDescent="0.45">
      <c r="A29" s="10"/>
      <c r="B29" s="68"/>
      <c r="C29" s="68"/>
      <c r="D29" s="68"/>
      <c r="E29" s="68"/>
      <c r="F29" s="68"/>
      <c r="G29" s="68"/>
      <c r="H29" s="68"/>
      <c r="I29" s="68"/>
      <c r="J29" s="68"/>
      <c r="K29" s="10"/>
    </row>
    <row r="30" spans="1:11" x14ac:dyDescent="0.45">
      <c r="A30" s="10"/>
      <c r="B30" s="68"/>
      <c r="C30" s="68"/>
      <c r="D30" s="68"/>
      <c r="E30" s="68"/>
      <c r="F30" s="68"/>
      <c r="G30" s="68"/>
      <c r="H30" s="68"/>
      <c r="I30" s="68"/>
      <c r="J30" s="68"/>
      <c r="K30" s="10"/>
    </row>
    <row r="31" spans="1:11" x14ac:dyDescent="0.45">
      <c r="A31" s="10"/>
      <c r="B31" s="68"/>
      <c r="C31" s="68"/>
      <c r="D31" s="68"/>
      <c r="E31" s="68"/>
      <c r="F31" s="68"/>
      <c r="G31" s="68"/>
      <c r="H31" s="68"/>
      <c r="I31" s="68"/>
      <c r="J31" s="68"/>
      <c r="K31" s="10"/>
    </row>
    <row r="32" spans="1:11" x14ac:dyDescent="0.45">
      <c r="A32" s="10"/>
      <c r="B32" s="68"/>
      <c r="C32" s="68"/>
      <c r="D32" s="68"/>
      <c r="E32" s="68"/>
      <c r="F32" s="68"/>
      <c r="G32" s="68"/>
      <c r="H32" s="68"/>
      <c r="I32" s="68"/>
      <c r="J32" s="68"/>
      <c r="K32" s="10"/>
    </row>
    <row r="33" spans="1:11" x14ac:dyDescent="0.45">
      <c r="A33" s="10"/>
      <c r="B33" s="68"/>
      <c r="C33" s="68"/>
      <c r="D33" s="68"/>
      <c r="E33" s="68"/>
      <c r="F33" s="68"/>
      <c r="G33" s="68"/>
      <c r="H33" s="68"/>
      <c r="I33" s="68"/>
      <c r="J33" s="68"/>
      <c r="K33" s="10"/>
    </row>
    <row r="34" spans="1:11" x14ac:dyDescent="0.45">
      <c r="A34" s="10"/>
      <c r="B34" s="68"/>
      <c r="C34" s="68"/>
      <c r="D34" s="68"/>
      <c r="E34" s="68"/>
      <c r="F34" s="68"/>
      <c r="G34" s="68"/>
      <c r="H34" s="68"/>
      <c r="I34" s="68"/>
      <c r="J34" s="68"/>
      <c r="K34" s="10"/>
    </row>
    <row r="35" spans="1:11" x14ac:dyDescent="0.45">
      <c r="A35" s="10"/>
      <c r="B35" s="68"/>
      <c r="C35" s="68"/>
      <c r="D35" s="68"/>
      <c r="E35" s="68"/>
      <c r="F35" s="68"/>
      <c r="G35" s="68"/>
      <c r="H35" s="68"/>
      <c r="I35" s="68"/>
      <c r="J35" s="68"/>
      <c r="K35" s="10"/>
    </row>
    <row r="36" spans="1:11" x14ac:dyDescent="0.45">
      <c r="A36" s="10"/>
      <c r="B36" s="68"/>
      <c r="C36" s="68"/>
      <c r="D36" s="68"/>
      <c r="E36" s="68"/>
      <c r="F36" s="68"/>
      <c r="G36" s="68"/>
      <c r="H36" s="68"/>
      <c r="I36" s="68"/>
      <c r="J36" s="68"/>
      <c r="K36" s="10"/>
    </row>
    <row r="38" spans="1:11" x14ac:dyDescent="0.45">
      <c r="A38" s="10"/>
      <c r="B38" s="10"/>
      <c r="C38" s="10"/>
      <c r="D38" s="10"/>
      <c r="E38" s="10"/>
      <c r="F38" s="10"/>
      <c r="G38" s="10"/>
      <c r="H38" s="10"/>
      <c r="I38" s="10"/>
      <c r="J38" s="10"/>
      <c r="K38" s="10"/>
    </row>
    <row r="39" spans="1:11" x14ac:dyDescent="0.45">
      <c r="A39" s="10"/>
      <c r="B39" s="10"/>
      <c r="C39" s="10"/>
      <c r="D39" s="10"/>
      <c r="E39" s="10"/>
      <c r="F39" s="10"/>
      <c r="G39" s="10"/>
      <c r="H39" s="10"/>
      <c r="I39" s="10"/>
      <c r="J39" s="10"/>
      <c r="K39" s="10"/>
    </row>
    <row r="40" spans="1:11" x14ac:dyDescent="0.45">
      <c r="A40" s="10"/>
      <c r="B40" s="10"/>
      <c r="C40" s="10"/>
      <c r="D40" s="10"/>
      <c r="E40" s="10"/>
      <c r="F40" s="10"/>
      <c r="G40" s="10"/>
      <c r="H40" s="10"/>
      <c r="I40" s="10"/>
      <c r="J40" s="10"/>
      <c r="K40" s="10"/>
    </row>
  </sheetData>
  <mergeCells count="3">
    <mergeCell ref="B3:G3"/>
    <mergeCell ref="B7:J36"/>
    <mergeCell ref="B5:G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41281-E2E8-4131-9EA4-FD0D42C9795A}">
  <sheetPr codeName="Sheet6"/>
  <dimension ref="A1:AA78"/>
  <sheetViews>
    <sheetView topLeftCell="A2" zoomScale="73" workbookViewId="0">
      <selection activeCell="Z22" sqref="Z22"/>
    </sheetView>
  </sheetViews>
  <sheetFormatPr defaultRowHeight="14.25" x14ac:dyDescent="0.45"/>
  <cols>
    <col min="1" max="1" width="20.9296875" customWidth="1"/>
    <col min="2" max="2" width="21" customWidth="1"/>
    <col min="3" max="3" width="25.73046875" customWidth="1"/>
    <col min="4" max="4" width="31.86328125" customWidth="1"/>
    <col min="5" max="5" width="20.796875" customWidth="1"/>
    <col min="6" max="6" width="20.73046875" customWidth="1"/>
    <col min="7" max="7" width="76.9296875" customWidth="1"/>
    <col min="8" max="8" width="20.6640625" customWidth="1"/>
    <col min="9" max="9" width="76.796875" customWidth="1"/>
    <col min="10" max="10" width="19.796875" customWidth="1"/>
    <col min="11" max="11" width="0.3984375" hidden="1" customWidth="1"/>
    <col min="12" max="12" width="5.1328125" hidden="1" customWidth="1"/>
    <col min="13" max="13" width="6.6640625" hidden="1" customWidth="1"/>
    <col min="14" max="14" width="7.1328125" hidden="1" customWidth="1"/>
    <col min="15" max="15" width="1.59765625" hidden="1" customWidth="1"/>
    <col min="16" max="16" width="0.1328125" customWidth="1"/>
    <col min="17" max="17" width="12.86328125" customWidth="1"/>
    <col min="18" max="18" width="31.86328125" customWidth="1"/>
    <col min="19" max="19" width="29.73046875" customWidth="1"/>
    <col min="22" max="22" width="28.33203125" customWidth="1"/>
    <col min="23" max="23" width="45.06640625" customWidth="1"/>
    <col min="24" max="24" width="12.06640625" customWidth="1"/>
  </cols>
  <sheetData>
    <row r="1" spans="1:27" ht="39.75" customHeight="1" thickBot="1" x14ac:dyDescent="0.5">
      <c r="A1" s="10"/>
      <c r="D1" s="10"/>
      <c r="E1" s="10"/>
      <c r="F1" s="10"/>
      <c r="G1" s="10"/>
      <c r="H1" s="10"/>
      <c r="I1" s="10"/>
      <c r="J1" s="10"/>
      <c r="K1" s="10"/>
      <c r="L1" s="10"/>
      <c r="M1" s="10"/>
      <c r="N1" s="10"/>
      <c r="O1" s="10"/>
      <c r="P1" s="10"/>
      <c r="Q1" s="10"/>
      <c r="R1" s="10"/>
      <c r="S1" s="10"/>
      <c r="T1" s="10"/>
      <c r="U1" s="10"/>
      <c r="V1" s="10"/>
      <c r="W1" s="10"/>
      <c r="X1" s="10"/>
      <c r="Y1" s="10"/>
      <c r="Z1" s="10"/>
      <c r="AA1" s="10"/>
    </row>
    <row r="2" spans="1:27" ht="37.9" customHeight="1" thickBot="1" x14ac:dyDescent="1.1499999999999999">
      <c r="A2" s="10"/>
      <c r="B2" s="22" t="s">
        <v>3</v>
      </c>
      <c r="C2" s="23" t="s">
        <v>95</v>
      </c>
      <c r="D2" s="23" t="s">
        <v>6</v>
      </c>
      <c r="E2" s="24">
        <v>2025</v>
      </c>
      <c r="F2" s="10"/>
      <c r="G2" s="10"/>
      <c r="H2" s="10"/>
      <c r="I2" s="10"/>
      <c r="J2" s="10"/>
      <c r="K2" s="10"/>
      <c r="L2" s="10"/>
      <c r="M2" s="10"/>
      <c r="N2" s="10"/>
      <c r="O2" s="10"/>
      <c r="P2" s="10"/>
      <c r="Q2" s="10"/>
      <c r="R2" s="10"/>
      <c r="S2" s="10"/>
      <c r="T2" s="10"/>
      <c r="U2" s="10"/>
      <c r="V2" s="10"/>
      <c r="W2" s="10"/>
      <c r="X2" s="10"/>
      <c r="Y2" s="10"/>
      <c r="Z2" s="10"/>
      <c r="AA2" s="10"/>
    </row>
    <row r="3" spans="1:27" ht="48.4" customHeight="1" thickBot="1" x14ac:dyDescent="0.5">
      <c r="A3" s="10"/>
      <c r="B3" s="10"/>
      <c r="C3" s="10"/>
      <c r="D3" s="10"/>
      <c r="E3" s="10"/>
      <c r="F3" s="10"/>
      <c r="G3" s="10"/>
      <c r="H3" s="10"/>
      <c r="I3" s="10"/>
      <c r="J3" s="10"/>
      <c r="K3" s="10"/>
      <c r="L3" s="10"/>
      <c r="M3" s="10"/>
      <c r="N3" s="10"/>
      <c r="O3" s="10"/>
      <c r="P3" s="10"/>
      <c r="Q3" s="10"/>
      <c r="R3" s="10"/>
      <c r="S3" s="10"/>
      <c r="T3" s="10"/>
      <c r="U3" s="10"/>
      <c r="V3" s="10"/>
      <c r="W3" s="10"/>
      <c r="X3" s="10"/>
      <c r="Y3" s="10"/>
      <c r="Z3" s="10"/>
      <c r="AA3" s="10"/>
    </row>
    <row r="4" spans="1:27" ht="30.4" thickBot="1" x14ac:dyDescent="1.1499999999999999">
      <c r="A4" s="17"/>
      <c r="B4" s="74" t="s">
        <v>36</v>
      </c>
      <c r="C4" s="75"/>
      <c r="D4" s="75"/>
      <c r="E4" s="76"/>
      <c r="F4" s="10"/>
      <c r="G4" s="22" t="s">
        <v>23</v>
      </c>
      <c r="H4" s="10"/>
      <c r="I4" s="22" t="s">
        <v>23</v>
      </c>
      <c r="J4" s="10"/>
      <c r="K4" s="10"/>
      <c r="L4" s="10"/>
      <c r="M4" s="10"/>
      <c r="N4" s="10"/>
      <c r="O4" s="10"/>
      <c r="P4" s="10"/>
      <c r="Q4" s="77" t="s">
        <v>37</v>
      </c>
      <c r="R4" s="78"/>
      <c r="S4" s="78"/>
      <c r="T4" s="27"/>
      <c r="U4" s="27"/>
      <c r="V4" s="77" t="s">
        <v>41</v>
      </c>
      <c r="W4" s="78"/>
      <c r="X4" s="78"/>
      <c r="Y4" s="10"/>
      <c r="Z4" s="10"/>
      <c r="AA4" s="10"/>
    </row>
    <row r="5" spans="1:27" x14ac:dyDescent="0.45">
      <c r="A5" s="17"/>
      <c r="B5" s="12"/>
      <c r="C5" s="11"/>
      <c r="D5" s="11"/>
      <c r="E5" s="13"/>
      <c r="F5" s="10"/>
      <c r="G5" s="11"/>
      <c r="H5" s="10"/>
      <c r="I5" s="11"/>
      <c r="J5" s="10"/>
      <c r="K5" s="10"/>
      <c r="L5" s="10"/>
      <c r="M5" s="10"/>
      <c r="N5" s="10"/>
      <c r="O5" s="10"/>
      <c r="P5" s="10"/>
      <c r="Q5" s="11"/>
      <c r="R5" s="11"/>
      <c r="S5" s="11"/>
      <c r="T5" s="27"/>
      <c r="U5" s="27"/>
      <c r="V5" s="11"/>
      <c r="W5" s="11"/>
      <c r="X5" s="11"/>
      <c r="Y5" s="10"/>
      <c r="Z5" s="10"/>
      <c r="AA5" s="10"/>
    </row>
    <row r="6" spans="1:27" x14ac:dyDescent="0.45">
      <c r="A6" s="17"/>
      <c r="B6" s="12"/>
      <c r="C6" s="11"/>
      <c r="D6" s="11"/>
      <c r="E6" s="13"/>
      <c r="F6" s="10"/>
      <c r="G6" s="11"/>
      <c r="H6" s="10"/>
      <c r="I6" s="11"/>
      <c r="J6" s="10"/>
      <c r="K6" s="10"/>
      <c r="L6" s="10"/>
      <c r="M6" s="10"/>
      <c r="N6" s="10"/>
      <c r="O6" s="10"/>
      <c r="P6" s="10"/>
      <c r="Q6" s="11"/>
      <c r="R6" s="11"/>
      <c r="S6" s="11"/>
      <c r="T6" s="27"/>
      <c r="U6" s="27"/>
      <c r="V6" s="11"/>
      <c r="W6" s="11"/>
      <c r="X6" s="11"/>
      <c r="Y6" s="10"/>
      <c r="Z6" s="10"/>
      <c r="AA6" s="10"/>
    </row>
    <row r="7" spans="1:27" x14ac:dyDescent="0.45">
      <c r="A7" s="17"/>
      <c r="B7" s="12"/>
      <c r="C7" s="11"/>
      <c r="D7" s="11"/>
      <c r="E7" s="13"/>
      <c r="F7" s="10"/>
      <c r="G7" s="11"/>
      <c r="H7" s="10"/>
      <c r="I7" s="11"/>
      <c r="J7" s="10"/>
      <c r="K7" s="10"/>
      <c r="L7" s="10"/>
      <c r="M7" s="10"/>
      <c r="N7" s="10"/>
      <c r="O7" s="10"/>
      <c r="P7" s="10"/>
      <c r="Q7" s="11"/>
      <c r="R7" s="11"/>
      <c r="S7" s="11"/>
      <c r="T7" s="27"/>
      <c r="U7" s="27"/>
      <c r="V7" s="11"/>
      <c r="W7" s="11"/>
      <c r="X7" s="11"/>
      <c r="Y7" s="10"/>
      <c r="Z7" s="10"/>
      <c r="AA7" s="10"/>
    </row>
    <row r="8" spans="1:27" ht="59.65" customHeight="1" x14ac:dyDescent="0.45">
      <c r="A8" s="17"/>
      <c r="B8" s="14"/>
      <c r="C8" s="15"/>
      <c r="D8" s="15"/>
      <c r="E8" s="16"/>
      <c r="F8" s="10"/>
      <c r="G8" s="11"/>
      <c r="H8" s="10"/>
      <c r="I8" s="11"/>
      <c r="J8" s="10"/>
      <c r="K8" s="10"/>
      <c r="L8" s="10"/>
      <c r="M8" s="10"/>
      <c r="N8" s="10"/>
      <c r="O8" s="10"/>
      <c r="P8" s="10"/>
      <c r="Q8" s="11"/>
      <c r="R8" s="11"/>
      <c r="S8" s="11"/>
      <c r="T8" s="27"/>
      <c r="U8" s="27"/>
      <c r="V8" s="11"/>
      <c r="W8" s="11"/>
      <c r="X8" s="11"/>
      <c r="Y8" s="10"/>
      <c r="Z8" s="10"/>
      <c r="AA8" s="10"/>
    </row>
    <row r="9" spans="1:27" ht="53.25" customHeight="1" x14ac:dyDescent="0.7">
      <c r="A9" s="17"/>
      <c r="B9" s="72" t="s">
        <v>4</v>
      </c>
      <c r="C9" s="73"/>
      <c r="D9" s="72" t="s">
        <v>12</v>
      </c>
      <c r="E9" s="73"/>
      <c r="F9" s="10"/>
      <c r="G9" s="11"/>
      <c r="H9" s="10"/>
      <c r="I9" s="11"/>
      <c r="J9" s="10"/>
      <c r="K9" s="10"/>
      <c r="L9" s="10"/>
      <c r="M9" s="10"/>
      <c r="N9" s="10"/>
      <c r="O9" s="10"/>
      <c r="P9" s="10"/>
      <c r="Q9" s="45" t="s">
        <v>13</v>
      </c>
      <c r="R9" s="45" t="s">
        <v>58</v>
      </c>
      <c r="S9" s="45" t="s">
        <v>57</v>
      </c>
      <c r="T9" s="27"/>
      <c r="U9" s="27"/>
      <c r="V9" s="45" t="s">
        <v>15</v>
      </c>
      <c r="W9" s="79" t="s">
        <v>7</v>
      </c>
      <c r="X9" s="79"/>
      <c r="Y9" s="10"/>
      <c r="Z9" s="10"/>
      <c r="AA9" s="10"/>
    </row>
    <row r="10" spans="1:27" ht="27.75" customHeight="1" x14ac:dyDescent="0.7">
      <c r="A10" s="17"/>
      <c r="B10" s="46" t="s">
        <v>21</v>
      </c>
      <c r="C10" s="47">
        <f>SUM(C12:C13)</f>
        <v>600</v>
      </c>
      <c r="D10" s="48" t="s">
        <v>22</v>
      </c>
      <c r="E10" s="49">
        <f>SUM(E12:E19)</f>
        <v>283.28999999999996</v>
      </c>
      <c r="F10" s="10"/>
      <c r="G10" s="11"/>
      <c r="H10" s="10"/>
      <c r="I10" s="11"/>
      <c r="J10" s="10"/>
      <c r="K10" s="10"/>
      <c r="L10" s="10"/>
      <c r="M10" s="10"/>
      <c r="N10" s="10"/>
      <c r="O10" s="10"/>
      <c r="P10" s="10"/>
      <c r="Q10" s="18"/>
      <c r="R10" s="19">
        <f>S10</f>
        <v>0</v>
      </c>
      <c r="S10" s="44"/>
      <c r="T10" s="27"/>
      <c r="U10" s="27"/>
      <c r="V10" s="18" t="s">
        <v>14</v>
      </c>
      <c r="W10" s="80">
        <f>C10*0.25</f>
        <v>150</v>
      </c>
      <c r="X10" s="80"/>
      <c r="Y10" s="10"/>
      <c r="Z10" s="10"/>
      <c r="AA10" s="10"/>
    </row>
    <row r="11" spans="1:27" ht="30" customHeight="1" x14ac:dyDescent="0.7">
      <c r="A11" s="17"/>
      <c r="B11" s="52" t="s">
        <v>4</v>
      </c>
      <c r="C11" s="52" t="s">
        <v>5</v>
      </c>
      <c r="D11" s="50" t="s">
        <v>12</v>
      </c>
      <c r="E11" s="51" t="s">
        <v>59</v>
      </c>
      <c r="F11" s="10"/>
      <c r="G11" s="11"/>
      <c r="H11" s="10"/>
      <c r="I11" s="11"/>
      <c r="J11" s="10"/>
      <c r="K11" s="10"/>
      <c r="L11" s="10"/>
      <c r="M11" s="10"/>
      <c r="N11" s="10"/>
      <c r="O11" s="10"/>
      <c r="P11" s="10"/>
      <c r="Q11" s="18"/>
      <c r="R11" s="19">
        <f t="shared" ref="R11:R65" si="0">S11</f>
        <v>0</v>
      </c>
      <c r="S11" s="44"/>
      <c r="T11" s="27"/>
      <c r="U11" s="27"/>
      <c r="V11" s="18" t="s">
        <v>12</v>
      </c>
      <c r="W11" s="80">
        <f>C10*0.45</f>
        <v>270</v>
      </c>
      <c r="X11" s="80"/>
      <c r="Y11" s="10"/>
      <c r="Z11" s="10"/>
      <c r="AA11" s="10"/>
    </row>
    <row r="12" spans="1:27" ht="23.25" x14ac:dyDescent="0.7">
      <c r="A12" s="17"/>
      <c r="B12" s="53" t="s">
        <v>72</v>
      </c>
      <c r="C12" s="54">
        <v>480</v>
      </c>
      <c r="D12" s="55" t="s">
        <v>70</v>
      </c>
      <c r="E12" s="56">
        <v>63.11</v>
      </c>
      <c r="F12" s="10"/>
      <c r="G12" s="11"/>
      <c r="H12" s="10"/>
      <c r="I12" s="11"/>
      <c r="J12" s="10"/>
      <c r="K12" s="10"/>
      <c r="L12" s="10"/>
      <c r="M12" s="10"/>
      <c r="N12" s="10"/>
      <c r="O12" s="10"/>
      <c r="P12" s="10"/>
      <c r="Q12" s="25"/>
      <c r="R12" s="19">
        <f t="shared" si="0"/>
        <v>0</v>
      </c>
      <c r="S12" s="25"/>
      <c r="T12" s="27"/>
      <c r="U12" s="27"/>
      <c r="V12" s="18" t="s">
        <v>60</v>
      </c>
      <c r="W12" s="80">
        <f>C10*0.2</f>
        <v>120</v>
      </c>
      <c r="X12" s="80"/>
      <c r="Y12" s="10"/>
      <c r="Z12" s="10"/>
      <c r="AA12" s="10"/>
    </row>
    <row r="13" spans="1:27" ht="23.25" x14ac:dyDescent="0.7">
      <c r="A13" s="17"/>
      <c r="B13" s="53" t="s">
        <v>83</v>
      </c>
      <c r="C13" s="54">
        <v>120</v>
      </c>
      <c r="D13" s="55" t="s">
        <v>71</v>
      </c>
      <c r="E13" s="56">
        <v>42</v>
      </c>
      <c r="F13" s="10"/>
      <c r="G13" s="11"/>
      <c r="H13" s="10"/>
      <c r="I13" s="11"/>
      <c r="J13" s="10"/>
      <c r="K13" s="10"/>
      <c r="L13" s="10"/>
      <c r="M13" s="10"/>
      <c r="N13" s="10"/>
      <c r="O13" s="10"/>
      <c r="P13" s="10"/>
      <c r="Q13" s="25"/>
      <c r="R13" s="19">
        <f t="shared" si="0"/>
        <v>0</v>
      </c>
      <c r="S13" s="25"/>
      <c r="T13" s="27"/>
      <c r="U13" s="27"/>
      <c r="V13" s="18" t="s">
        <v>61</v>
      </c>
      <c r="W13" s="80">
        <f>C10*0.1</f>
        <v>60</v>
      </c>
      <c r="X13" s="80"/>
      <c r="Y13" s="10"/>
      <c r="Z13" s="10"/>
      <c r="AA13" s="10"/>
    </row>
    <row r="14" spans="1:27" ht="23.25" customHeight="1" x14ac:dyDescent="0.7">
      <c r="A14" s="17"/>
      <c r="B14" s="53"/>
      <c r="C14" s="54"/>
      <c r="D14" s="55" t="s">
        <v>80</v>
      </c>
      <c r="E14" s="56">
        <v>14.25</v>
      </c>
      <c r="F14" s="10"/>
      <c r="G14" s="11"/>
      <c r="H14" s="10"/>
      <c r="I14" s="11"/>
      <c r="J14" s="10"/>
      <c r="K14" s="10"/>
      <c r="L14" s="10"/>
      <c r="M14" s="10"/>
      <c r="N14" s="10"/>
      <c r="O14" s="10"/>
      <c r="P14" s="10"/>
      <c r="Q14" s="25"/>
      <c r="R14" s="19">
        <f t="shared" si="0"/>
        <v>0</v>
      </c>
      <c r="S14" s="25"/>
      <c r="T14" s="27"/>
      <c r="U14" s="27"/>
      <c r="V14" s="70" t="s">
        <v>63</v>
      </c>
      <c r="W14" s="71" t="s">
        <v>62</v>
      </c>
      <c r="X14" s="71"/>
      <c r="Y14" s="10"/>
      <c r="Z14" s="10"/>
      <c r="AA14" s="10"/>
    </row>
    <row r="15" spans="1:27" ht="23.25" x14ac:dyDescent="0.7">
      <c r="A15" s="17"/>
      <c r="B15" s="53"/>
      <c r="C15" s="54"/>
      <c r="D15" s="55" t="s">
        <v>81</v>
      </c>
      <c r="E15" s="56">
        <v>79.989999999999995</v>
      </c>
      <c r="F15" s="10"/>
      <c r="G15" s="11"/>
      <c r="H15" s="10"/>
      <c r="I15" s="11"/>
      <c r="J15" s="10"/>
      <c r="K15" s="10"/>
      <c r="L15" s="10"/>
      <c r="M15" s="10"/>
      <c r="N15" s="10"/>
      <c r="O15" s="10"/>
      <c r="P15" s="10"/>
      <c r="Q15" s="25"/>
      <c r="R15" s="19">
        <f t="shared" si="0"/>
        <v>0</v>
      </c>
      <c r="S15" s="25"/>
      <c r="T15" s="27"/>
      <c r="U15" s="27"/>
      <c r="V15" s="70"/>
      <c r="W15" s="71"/>
      <c r="X15" s="71"/>
      <c r="Y15" s="10"/>
      <c r="Z15" s="10"/>
      <c r="AA15" s="10"/>
    </row>
    <row r="16" spans="1:27" ht="23.25" x14ac:dyDescent="0.7">
      <c r="A16" s="17"/>
      <c r="B16" s="53"/>
      <c r="C16" s="54"/>
      <c r="D16" s="55" t="s">
        <v>82</v>
      </c>
      <c r="E16" s="56">
        <v>10.99</v>
      </c>
      <c r="F16" s="10"/>
      <c r="G16" s="11"/>
      <c r="H16" s="10"/>
      <c r="I16" s="11"/>
      <c r="J16" s="10"/>
      <c r="K16" s="10"/>
      <c r="L16" s="10"/>
      <c r="M16" s="10"/>
      <c r="N16" s="10"/>
      <c r="O16" s="10"/>
      <c r="P16" s="10"/>
      <c r="Q16" s="25"/>
      <c r="R16" s="19">
        <f t="shared" si="0"/>
        <v>0</v>
      </c>
      <c r="S16" s="25"/>
      <c r="T16" s="27"/>
      <c r="U16" s="27"/>
      <c r="V16" s="70"/>
      <c r="W16" s="71"/>
      <c r="X16" s="71"/>
      <c r="Y16" s="10"/>
      <c r="Z16" s="10"/>
      <c r="AA16" s="10"/>
    </row>
    <row r="17" spans="1:27" ht="23.25" x14ac:dyDescent="0.7">
      <c r="A17" s="17"/>
      <c r="B17" s="53"/>
      <c r="C17" s="54"/>
      <c r="D17" s="55" t="s">
        <v>76</v>
      </c>
      <c r="E17" s="56">
        <v>9.85</v>
      </c>
      <c r="F17" s="10"/>
      <c r="G17" s="11"/>
      <c r="H17" s="10"/>
      <c r="I17" s="11"/>
      <c r="J17" s="10"/>
      <c r="K17" s="10"/>
      <c r="L17" s="10"/>
      <c r="M17" s="10"/>
      <c r="N17" s="10"/>
      <c r="O17" s="10"/>
      <c r="P17" s="10"/>
      <c r="Q17" s="25"/>
      <c r="R17" s="19">
        <f t="shared" si="0"/>
        <v>0</v>
      </c>
      <c r="S17" s="25"/>
      <c r="T17" s="27"/>
      <c r="U17" s="27"/>
      <c r="V17" s="70"/>
      <c r="W17" s="71"/>
      <c r="X17" s="71"/>
      <c r="Y17" s="10"/>
      <c r="Z17" s="10"/>
      <c r="AA17" s="10"/>
    </row>
    <row r="18" spans="1:27" ht="23.25" x14ac:dyDescent="0.7">
      <c r="A18" s="17"/>
      <c r="B18" s="53"/>
      <c r="C18" s="54"/>
      <c r="D18" s="55" t="s">
        <v>84</v>
      </c>
      <c r="E18" s="56">
        <v>8.1</v>
      </c>
      <c r="F18" s="10"/>
      <c r="G18" s="11"/>
      <c r="H18" s="10"/>
      <c r="I18" s="11"/>
      <c r="J18" s="10"/>
      <c r="K18" s="10"/>
      <c r="L18" s="10"/>
      <c r="M18" s="10"/>
      <c r="N18" s="10"/>
      <c r="O18" s="10"/>
      <c r="P18" s="10"/>
      <c r="Q18" s="25"/>
      <c r="R18" s="19">
        <f t="shared" si="0"/>
        <v>0</v>
      </c>
      <c r="S18" s="25"/>
      <c r="T18" s="27"/>
      <c r="U18" s="27"/>
      <c r="V18" s="70" t="s">
        <v>64</v>
      </c>
      <c r="W18" s="71" t="s">
        <v>65</v>
      </c>
      <c r="X18" s="71"/>
      <c r="Y18" s="10"/>
      <c r="Z18" s="10"/>
      <c r="AA18" s="10"/>
    </row>
    <row r="19" spans="1:27" ht="23.25" x14ac:dyDescent="0.7">
      <c r="A19" s="17"/>
      <c r="B19" s="53"/>
      <c r="C19" s="54"/>
      <c r="D19" s="55" t="s">
        <v>85</v>
      </c>
      <c r="E19" s="56">
        <v>55</v>
      </c>
      <c r="F19" s="10"/>
      <c r="G19" s="11"/>
      <c r="H19" s="10"/>
      <c r="I19" s="11"/>
      <c r="J19" s="10"/>
      <c r="K19" s="10"/>
      <c r="L19" s="10"/>
      <c r="M19" s="10"/>
      <c r="N19" s="10"/>
      <c r="O19" s="10"/>
      <c r="P19" s="10"/>
      <c r="Q19" s="25"/>
      <c r="R19" s="19">
        <f t="shared" si="0"/>
        <v>0</v>
      </c>
      <c r="S19" s="25"/>
      <c r="T19" s="27"/>
      <c r="U19" s="27"/>
      <c r="V19" s="70"/>
      <c r="W19" s="71"/>
      <c r="X19" s="71"/>
      <c r="Y19" s="10"/>
      <c r="Z19" s="10"/>
      <c r="AA19" s="10"/>
    </row>
    <row r="20" spans="1:27" ht="23.25" x14ac:dyDescent="0.7">
      <c r="A20" s="17"/>
      <c r="B20" s="53"/>
      <c r="C20" s="54"/>
      <c r="D20" s="55"/>
      <c r="E20" s="56"/>
      <c r="F20" s="10"/>
      <c r="G20" s="11"/>
      <c r="H20" s="10"/>
      <c r="I20" s="11"/>
      <c r="J20" s="10"/>
      <c r="K20" s="10"/>
      <c r="L20" s="10"/>
      <c r="M20" s="10"/>
      <c r="N20" s="10"/>
      <c r="O20" s="10"/>
      <c r="P20" s="10"/>
      <c r="Q20" s="25"/>
      <c r="R20" s="19">
        <f t="shared" si="0"/>
        <v>0</v>
      </c>
      <c r="S20" s="25"/>
      <c r="T20" s="27"/>
      <c r="U20" s="27"/>
      <c r="V20" s="70"/>
      <c r="W20" s="71"/>
      <c r="X20" s="71"/>
      <c r="Y20" s="10"/>
      <c r="Z20" s="10"/>
      <c r="AA20" s="10"/>
    </row>
    <row r="21" spans="1:27" ht="23.65" thickBot="1" x14ac:dyDescent="0.75">
      <c r="A21" s="17"/>
      <c r="B21" s="57"/>
      <c r="C21" s="58"/>
      <c r="D21" s="59"/>
      <c r="E21" s="60"/>
      <c r="F21" s="10"/>
      <c r="G21" s="11"/>
      <c r="H21" s="10"/>
      <c r="I21" s="11"/>
      <c r="J21" s="10"/>
      <c r="K21" s="10"/>
      <c r="L21" s="10"/>
      <c r="M21" s="10"/>
      <c r="N21" s="10"/>
      <c r="O21" s="10"/>
      <c r="P21" s="10"/>
      <c r="Q21" s="20"/>
      <c r="R21" s="19">
        <f t="shared" si="0"/>
        <v>0</v>
      </c>
      <c r="S21" s="20"/>
      <c r="T21" s="27"/>
      <c r="U21" s="27"/>
      <c r="V21" s="70"/>
      <c r="W21" s="71"/>
      <c r="X21" s="71"/>
      <c r="Y21" s="10"/>
      <c r="Z21" s="10"/>
      <c r="AA21" s="10"/>
    </row>
    <row r="22" spans="1:27" ht="30.4" thickBot="1" x14ac:dyDescent="1.1499999999999999">
      <c r="A22" s="17"/>
      <c r="B22" s="53"/>
      <c r="C22" s="54"/>
      <c r="D22" s="55"/>
      <c r="E22" s="56"/>
      <c r="F22" s="10"/>
      <c r="G22" s="11"/>
      <c r="H22" s="10"/>
      <c r="I22" s="22" t="s">
        <v>38</v>
      </c>
      <c r="J22" s="10"/>
      <c r="K22" s="10"/>
      <c r="L22" s="10"/>
      <c r="M22" s="10"/>
      <c r="N22" s="10"/>
      <c r="Q22" s="20"/>
      <c r="R22" s="19">
        <f t="shared" si="0"/>
        <v>0</v>
      </c>
      <c r="S22" s="20"/>
      <c r="T22" s="27"/>
      <c r="U22" s="27"/>
      <c r="V22" s="11"/>
      <c r="W22" s="18"/>
      <c r="X22" s="18"/>
      <c r="Y22" s="10"/>
      <c r="Z22" s="10"/>
      <c r="AA22" s="10"/>
    </row>
    <row r="23" spans="1:27" ht="23.25" x14ac:dyDescent="0.7">
      <c r="A23" s="17"/>
      <c r="B23" s="53"/>
      <c r="C23" s="54"/>
      <c r="D23" s="55"/>
      <c r="E23" s="56"/>
      <c r="F23" s="10"/>
      <c r="G23" s="11"/>
      <c r="H23" s="10"/>
      <c r="I23" s="11"/>
      <c r="J23" s="10"/>
      <c r="K23" s="10"/>
      <c r="L23" s="10"/>
      <c r="M23" s="10"/>
      <c r="N23" s="10"/>
      <c r="Q23" s="20"/>
      <c r="R23" s="19">
        <f t="shared" si="0"/>
        <v>0</v>
      </c>
      <c r="S23" s="20"/>
      <c r="T23" s="27"/>
      <c r="U23" s="27"/>
      <c r="V23" s="11"/>
      <c r="W23" s="18"/>
      <c r="X23" s="18"/>
      <c r="Y23" s="10"/>
      <c r="Z23" s="10"/>
      <c r="AA23" s="10"/>
    </row>
    <row r="24" spans="1:27" ht="23.25" x14ac:dyDescent="0.7">
      <c r="A24" s="17"/>
      <c r="B24" s="53"/>
      <c r="C24" s="54"/>
      <c r="D24" s="55"/>
      <c r="E24" s="56"/>
      <c r="F24" s="10"/>
      <c r="G24" s="11"/>
      <c r="H24" s="10"/>
      <c r="I24" s="26" t="str">
        <f>"Your income changed by " &amp; TEXT('Expenses&amp;Incomes'!Q14, "0.0%") &amp; " compared to last month."</f>
        <v>Your income changed by 6.7% compared to last month.</v>
      </c>
      <c r="J24" s="10"/>
      <c r="K24" s="10"/>
      <c r="L24" s="10"/>
      <c r="M24" s="10"/>
      <c r="N24" s="10"/>
      <c r="Q24" s="20"/>
      <c r="R24" s="19">
        <f t="shared" si="0"/>
        <v>0</v>
      </c>
      <c r="S24" s="20"/>
      <c r="T24" s="27"/>
      <c r="U24" s="27"/>
      <c r="V24" s="11"/>
      <c r="W24" s="18"/>
      <c r="X24" s="18"/>
      <c r="Y24" s="10"/>
      <c r="Z24" s="10"/>
      <c r="AA24" s="10"/>
    </row>
    <row r="25" spans="1:27" ht="23.25" x14ac:dyDescent="0.7">
      <c r="A25" s="17"/>
      <c r="B25" s="53"/>
      <c r="C25" s="54"/>
      <c r="D25" s="55"/>
      <c r="E25" s="56"/>
      <c r="F25" s="10"/>
      <c r="G25" s="11"/>
      <c r="H25" s="10"/>
      <c r="I25" s="26" t="str">
        <f>"Your expenses changed by " &amp; TEXT('Expenses&amp;Incomes'!R14, "0.0%") &amp; " compared to last month."</f>
        <v>Your expenses changed by -24.2% compared to last month.</v>
      </c>
      <c r="J25" s="10"/>
      <c r="K25" s="10"/>
      <c r="L25" s="10"/>
      <c r="M25" s="10"/>
      <c r="N25" s="10"/>
      <c r="Q25" s="20"/>
      <c r="R25" s="19">
        <f t="shared" si="0"/>
        <v>0</v>
      </c>
      <c r="S25" s="20"/>
      <c r="T25" s="27"/>
      <c r="U25" s="27"/>
      <c r="V25" s="11"/>
      <c r="W25" s="18"/>
      <c r="X25" s="18"/>
      <c r="Y25" s="10"/>
      <c r="Z25" s="10"/>
      <c r="AA25" s="10"/>
    </row>
    <row r="26" spans="1:27" ht="23.25" x14ac:dyDescent="0.7">
      <c r="A26" s="17"/>
      <c r="B26" s="53"/>
      <c r="C26" s="54"/>
      <c r="D26" s="55"/>
      <c r="E26" s="56"/>
      <c r="F26" s="10"/>
      <c r="G26" s="11"/>
      <c r="H26" s="10"/>
      <c r="I26" s="11"/>
      <c r="J26" s="10"/>
      <c r="K26" s="10"/>
      <c r="L26" s="10"/>
      <c r="M26" s="10"/>
      <c r="N26" s="10"/>
      <c r="Q26" s="20"/>
      <c r="R26" s="19">
        <f t="shared" si="0"/>
        <v>0</v>
      </c>
      <c r="S26" s="20"/>
      <c r="T26" s="27"/>
      <c r="U26" s="27"/>
      <c r="V26" s="11"/>
      <c r="W26" s="18"/>
      <c r="X26" s="18"/>
      <c r="Y26" s="10"/>
      <c r="Z26" s="10"/>
      <c r="AA26" s="10"/>
    </row>
    <row r="27" spans="1:27" ht="23.25" x14ac:dyDescent="0.7">
      <c r="A27" s="17"/>
      <c r="B27" s="53"/>
      <c r="C27" s="54"/>
      <c r="D27" s="55"/>
      <c r="E27" s="56"/>
      <c r="F27" s="10"/>
      <c r="G27" s="11"/>
      <c r="H27" s="10"/>
      <c r="I27" s="11"/>
      <c r="J27" s="10"/>
      <c r="K27" s="10"/>
      <c r="L27" s="10"/>
      <c r="M27" s="10"/>
      <c r="N27" s="10"/>
      <c r="Q27" s="20"/>
      <c r="R27" s="19">
        <f t="shared" si="0"/>
        <v>0</v>
      </c>
      <c r="S27" s="20"/>
      <c r="T27" s="27"/>
      <c r="U27" s="27"/>
      <c r="V27" s="11"/>
      <c r="W27" s="18"/>
      <c r="X27" s="18"/>
      <c r="Y27" s="10"/>
      <c r="Z27" s="10"/>
      <c r="AA27" s="10"/>
    </row>
    <row r="28" spans="1:27" ht="23.25" x14ac:dyDescent="0.7">
      <c r="A28" s="17"/>
      <c r="B28" s="53"/>
      <c r="C28" s="54"/>
      <c r="D28" s="55"/>
      <c r="E28" s="56"/>
      <c r="F28" s="10"/>
      <c r="G28" s="11"/>
      <c r="H28" s="10"/>
      <c r="I28" s="11"/>
      <c r="J28" s="10"/>
      <c r="K28" s="10"/>
      <c r="L28" s="10"/>
      <c r="M28" s="10"/>
      <c r="N28" s="10"/>
      <c r="Q28" s="20"/>
      <c r="R28" s="19">
        <f t="shared" si="0"/>
        <v>0</v>
      </c>
      <c r="S28" s="20"/>
      <c r="T28" s="27"/>
      <c r="U28" s="27"/>
      <c r="V28" s="11"/>
      <c r="W28" s="18"/>
      <c r="X28" s="18"/>
      <c r="Y28" s="10"/>
      <c r="Z28" s="10"/>
      <c r="AA28" s="10"/>
    </row>
    <row r="29" spans="1:27" ht="23.25" x14ac:dyDescent="0.7">
      <c r="A29" s="17"/>
      <c r="B29" s="53"/>
      <c r="C29" s="54"/>
      <c r="D29" s="55"/>
      <c r="E29" s="56"/>
      <c r="F29" s="10"/>
      <c r="G29" s="11"/>
      <c r="H29" s="10"/>
      <c r="I29" s="11"/>
      <c r="J29" s="10"/>
      <c r="K29" s="10"/>
      <c r="L29" s="10"/>
      <c r="M29" s="10"/>
      <c r="N29" s="10"/>
      <c r="Q29" s="20"/>
      <c r="R29" s="19">
        <f t="shared" si="0"/>
        <v>0</v>
      </c>
      <c r="S29" s="20"/>
      <c r="T29" s="27"/>
      <c r="U29" s="27"/>
      <c r="V29" s="11"/>
      <c r="W29" s="18"/>
      <c r="X29" s="18"/>
      <c r="Y29" s="10"/>
      <c r="Z29" s="10"/>
      <c r="AA29" s="10"/>
    </row>
    <row r="30" spans="1:27" ht="23.25" x14ac:dyDescent="0.7">
      <c r="A30" s="17"/>
      <c r="B30" s="53"/>
      <c r="C30" s="54"/>
      <c r="D30" s="55"/>
      <c r="E30" s="56"/>
      <c r="F30" s="10"/>
      <c r="G30" s="11"/>
      <c r="H30" s="10"/>
      <c r="I30" s="11"/>
      <c r="J30" s="10"/>
      <c r="K30" s="10"/>
      <c r="L30" s="10"/>
      <c r="M30" s="10"/>
      <c r="N30" s="10"/>
      <c r="Q30" s="20"/>
      <c r="R30" s="19">
        <f t="shared" si="0"/>
        <v>0</v>
      </c>
      <c r="S30" s="20"/>
      <c r="T30" s="27"/>
      <c r="U30" s="27"/>
      <c r="V30" s="11"/>
      <c r="W30" s="18"/>
      <c r="X30" s="18"/>
      <c r="Y30" s="10"/>
      <c r="Z30" s="10"/>
      <c r="AA30" s="10"/>
    </row>
    <row r="31" spans="1:27" ht="23.25" x14ac:dyDescent="0.7">
      <c r="A31" s="17"/>
      <c r="B31" s="53"/>
      <c r="C31" s="54"/>
      <c r="D31" s="55"/>
      <c r="E31" s="56"/>
      <c r="F31" s="10"/>
      <c r="G31" s="11"/>
      <c r="H31" s="10"/>
      <c r="I31" s="11"/>
      <c r="J31" s="10"/>
      <c r="K31" s="10"/>
      <c r="L31" s="10"/>
      <c r="M31" s="10"/>
      <c r="N31" s="10"/>
      <c r="Q31" s="20"/>
      <c r="R31" s="19">
        <f t="shared" si="0"/>
        <v>0</v>
      </c>
      <c r="S31" s="20"/>
      <c r="T31" s="27"/>
      <c r="U31" s="27"/>
      <c r="V31" s="11"/>
      <c r="W31" s="11"/>
      <c r="X31" s="11"/>
      <c r="Y31" s="10"/>
      <c r="Z31" s="10"/>
      <c r="AA31" s="10"/>
    </row>
    <row r="32" spans="1:27" ht="23.25" x14ac:dyDescent="0.7">
      <c r="A32" s="17"/>
      <c r="B32" s="53"/>
      <c r="C32" s="54"/>
      <c r="D32" s="55"/>
      <c r="E32" s="56"/>
      <c r="F32" s="10"/>
      <c r="G32" s="11"/>
      <c r="H32" s="10"/>
      <c r="I32" s="11"/>
      <c r="J32" s="10"/>
      <c r="K32" s="10"/>
      <c r="L32" s="10"/>
      <c r="M32" s="10"/>
      <c r="N32" s="10"/>
      <c r="Q32" s="20"/>
      <c r="R32" s="19">
        <f t="shared" si="0"/>
        <v>0</v>
      </c>
      <c r="S32" s="20"/>
      <c r="T32" s="27"/>
      <c r="U32" s="27"/>
      <c r="V32" s="11"/>
      <c r="W32" s="11"/>
      <c r="X32" s="11"/>
      <c r="Y32" s="10"/>
      <c r="Z32" s="10"/>
      <c r="AA32" s="10"/>
    </row>
    <row r="33" spans="1:27" ht="23.25" x14ac:dyDescent="0.7">
      <c r="A33" s="17"/>
      <c r="B33" s="53"/>
      <c r="C33" s="54"/>
      <c r="D33" s="55"/>
      <c r="E33" s="56"/>
      <c r="F33" s="10"/>
      <c r="G33" s="11"/>
      <c r="H33" s="10"/>
      <c r="I33" s="11"/>
      <c r="J33" s="10"/>
      <c r="K33" s="10"/>
      <c r="L33" s="10"/>
      <c r="M33" s="10"/>
      <c r="N33" s="10"/>
      <c r="Q33" s="20"/>
      <c r="R33" s="19">
        <f t="shared" si="0"/>
        <v>0</v>
      </c>
      <c r="S33" s="20"/>
      <c r="T33" s="27"/>
      <c r="U33" s="27"/>
      <c r="V33" s="11"/>
      <c r="W33" s="11"/>
      <c r="X33" s="11"/>
      <c r="Y33" s="10"/>
      <c r="Z33" s="10"/>
      <c r="AA33" s="10"/>
    </row>
    <row r="34" spans="1:27" ht="23.25" x14ac:dyDescent="0.7">
      <c r="A34" s="17"/>
      <c r="B34" s="53"/>
      <c r="C34" s="54"/>
      <c r="D34" s="55"/>
      <c r="E34" s="56"/>
      <c r="F34" s="10"/>
      <c r="G34" s="11"/>
      <c r="H34" s="10"/>
      <c r="I34" s="11"/>
      <c r="J34" s="10"/>
      <c r="K34" s="10"/>
      <c r="L34" s="10"/>
      <c r="M34" s="10"/>
      <c r="N34" s="10"/>
      <c r="Q34" s="20"/>
      <c r="R34" s="19">
        <f t="shared" si="0"/>
        <v>0</v>
      </c>
      <c r="S34" s="20"/>
      <c r="T34" s="27"/>
      <c r="U34" s="27"/>
      <c r="V34" s="11"/>
      <c r="W34" s="11"/>
      <c r="X34" s="11"/>
      <c r="Y34" s="10"/>
      <c r="Z34" s="10"/>
      <c r="AA34" s="10"/>
    </row>
    <row r="35" spans="1:27" ht="23.25" x14ac:dyDescent="0.7">
      <c r="A35" s="17"/>
      <c r="B35" s="53"/>
      <c r="C35" s="54"/>
      <c r="D35" s="55"/>
      <c r="E35" s="56"/>
      <c r="F35" s="10"/>
      <c r="G35" s="11"/>
      <c r="H35" s="10"/>
      <c r="I35" s="11"/>
      <c r="J35" s="10"/>
      <c r="K35" s="10"/>
      <c r="L35" s="10"/>
      <c r="M35" s="10"/>
      <c r="N35" s="10"/>
      <c r="Q35" s="20"/>
      <c r="R35" s="19">
        <f t="shared" si="0"/>
        <v>0</v>
      </c>
      <c r="S35" s="20"/>
      <c r="T35" s="27"/>
      <c r="U35" s="27"/>
      <c r="V35" s="11"/>
      <c r="W35" s="11"/>
      <c r="X35" s="11"/>
      <c r="Y35" s="10"/>
      <c r="Z35" s="10"/>
      <c r="AA35" s="10"/>
    </row>
    <row r="36" spans="1:27" ht="23.25" x14ac:dyDescent="0.7">
      <c r="A36" s="17"/>
      <c r="B36" s="53"/>
      <c r="C36" s="54"/>
      <c r="D36" s="55"/>
      <c r="E36" s="56"/>
      <c r="F36" s="10"/>
      <c r="G36" s="11"/>
      <c r="H36" s="10"/>
      <c r="I36" s="11"/>
      <c r="J36" s="10"/>
      <c r="K36" s="10"/>
      <c r="L36" s="10"/>
      <c r="M36" s="10"/>
      <c r="N36" s="10"/>
      <c r="Q36" s="20"/>
      <c r="R36" s="19">
        <f t="shared" si="0"/>
        <v>0</v>
      </c>
      <c r="S36" s="20"/>
      <c r="T36" s="27"/>
      <c r="U36" s="27"/>
      <c r="V36" s="11"/>
      <c r="W36" s="11"/>
      <c r="X36" s="11"/>
      <c r="Y36" s="10"/>
      <c r="Z36" s="10"/>
      <c r="AA36" s="10"/>
    </row>
    <row r="37" spans="1:27" ht="23.25" x14ac:dyDescent="0.7">
      <c r="A37" s="17"/>
      <c r="B37" s="53"/>
      <c r="C37" s="54"/>
      <c r="D37" s="55"/>
      <c r="E37" s="56"/>
      <c r="F37" s="10"/>
      <c r="G37" s="11"/>
      <c r="H37" s="10"/>
      <c r="I37" s="11"/>
      <c r="J37" s="10"/>
      <c r="K37" s="10"/>
      <c r="L37" s="10"/>
      <c r="M37" s="10"/>
      <c r="N37" s="10"/>
      <c r="Q37" s="20"/>
      <c r="R37" s="19">
        <f t="shared" si="0"/>
        <v>0</v>
      </c>
      <c r="S37" s="20"/>
      <c r="T37" s="27"/>
      <c r="U37" s="27"/>
      <c r="V37" s="11"/>
      <c r="W37" s="11"/>
      <c r="X37" s="11"/>
      <c r="Y37" s="10"/>
      <c r="Z37" s="10"/>
      <c r="AA37" s="10"/>
    </row>
    <row r="38" spans="1:27" ht="23.25" x14ac:dyDescent="0.7">
      <c r="A38" s="17"/>
      <c r="B38" s="53"/>
      <c r="C38" s="54"/>
      <c r="D38" s="55"/>
      <c r="E38" s="56"/>
      <c r="F38" s="10"/>
      <c r="G38" s="11"/>
      <c r="H38" s="10"/>
      <c r="I38" s="11"/>
      <c r="J38" s="10"/>
      <c r="K38" s="10"/>
      <c r="L38" s="10"/>
      <c r="M38" s="10"/>
      <c r="N38" s="10"/>
      <c r="Q38" s="11"/>
      <c r="R38" s="19">
        <f t="shared" si="0"/>
        <v>0</v>
      </c>
      <c r="S38" s="11"/>
      <c r="T38" s="27"/>
      <c r="U38" s="27"/>
      <c r="V38" s="11"/>
      <c r="W38" s="11"/>
      <c r="X38" s="11"/>
      <c r="Y38" s="10"/>
      <c r="Z38" s="10"/>
      <c r="AA38" s="10"/>
    </row>
    <row r="39" spans="1:27" ht="23.25" x14ac:dyDescent="0.7">
      <c r="A39" s="17"/>
      <c r="B39" s="53"/>
      <c r="C39" s="54"/>
      <c r="D39" s="55"/>
      <c r="E39" s="56"/>
      <c r="F39" s="10"/>
      <c r="G39" s="11"/>
      <c r="H39" s="10"/>
      <c r="I39" s="11"/>
      <c r="J39" s="10"/>
      <c r="K39" s="10"/>
      <c r="L39" s="10"/>
      <c r="M39" s="10"/>
      <c r="N39" s="10"/>
      <c r="Q39" s="11"/>
      <c r="R39" s="19">
        <f t="shared" si="0"/>
        <v>0</v>
      </c>
      <c r="S39" s="11"/>
      <c r="T39" s="27"/>
      <c r="U39" s="27"/>
      <c r="V39" s="11"/>
      <c r="W39" s="11"/>
      <c r="X39" s="11"/>
      <c r="Y39" s="10"/>
      <c r="Z39" s="10"/>
      <c r="AA39" s="10"/>
    </row>
    <row r="40" spans="1:27" ht="23.25" x14ac:dyDescent="0.7">
      <c r="A40" s="17"/>
      <c r="B40" s="53"/>
      <c r="C40" s="54"/>
      <c r="D40" s="55"/>
      <c r="E40" s="56"/>
      <c r="F40" s="10"/>
      <c r="G40" s="11"/>
      <c r="H40" s="10"/>
      <c r="I40" s="11"/>
      <c r="J40" s="10"/>
      <c r="K40" s="10"/>
      <c r="L40" s="10"/>
      <c r="M40" s="10"/>
      <c r="N40" s="10"/>
      <c r="Q40" s="11"/>
      <c r="R40" s="19">
        <f t="shared" si="0"/>
        <v>0</v>
      </c>
      <c r="S40" s="11"/>
      <c r="T40" s="27"/>
      <c r="U40" s="27"/>
      <c r="V40" s="11"/>
      <c r="W40" s="11"/>
      <c r="X40" s="11"/>
      <c r="Y40" s="10"/>
      <c r="Z40" s="10"/>
      <c r="AA40" s="10"/>
    </row>
    <row r="41" spans="1:27" ht="23.25" x14ac:dyDescent="0.7">
      <c r="A41" s="17"/>
      <c r="B41" s="53"/>
      <c r="C41" s="54"/>
      <c r="D41" s="55"/>
      <c r="E41" s="56"/>
      <c r="F41" s="10"/>
      <c r="G41" s="11"/>
      <c r="H41" s="10"/>
      <c r="I41" s="11"/>
      <c r="J41" s="10"/>
      <c r="K41" s="10"/>
      <c r="L41" s="10"/>
      <c r="M41" s="10"/>
      <c r="N41" s="10"/>
      <c r="Q41" s="11"/>
      <c r="R41" s="19">
        <f t="shared" si="0"/>
        <v>0</v>
      </c>
      <c r="S41" s="11"/>
      <c r="T41" s="27"/>
      <c r="U41" s="27"/>
      <c r="V41" s="11"/>
      <c r="W41" s="11"/>
      <c r="X41" s="11"/>
      <c r="Y41" s="10"/>
      <c r="Z41" s="10"/>
      <c r="AA41" s="10"/>
    </row>
    <row r="42" spans="1:27" ht="23.25" x14ac:dyDescent="0.7">
      <c r="A42" s="17"/>
      <c r="B42" s="53"/>
      <c r="C42" s="54"/>
      <c r="D42" s="55"/>
      <c r="E42" s="56"/>
      <c r="F42" s="10"/>
      <c r="G42" s="11"/>
      <c r="H42" s="10"/>
      <c r="I42" s="11"/>
      <c r="J42" s="10"/>
      <c r="K42" s="10"/>
      <c r="L42" s="10"/>
      <c r="M42" s="10"/>
      <c r="N42" s="10"/>
      <c r="Q42" s="11"/>
      <c r="R42" s="19">
        <f t="shared" si="0"/>
        <v>0</v>
      </c>
      <c r="S42" s="11"/>
      <c r="T42" s="27"/>
      <c r="U42" s="27"/>
      <c r="V42" s="11"/>
      <c r="W42" s="11"/>
      <c r="X42" s="11"/>
      <c r="Y42" s="10"/>
      <c r="Z42" s="10"/>
      <c r="AA42" s="10"/>
    </row>
    <row r="43" spans="1:27" ht="23.25" x14ac:dyDescent="0.7">
      <c r="A43" s="17"/>
      <c r="B43" s="53"/>
      <c r="C43" s="54"/>
      <c r="D43" s="55"/>
      <c r="E43" s="56"/>
      <c r="F43" s="10"/>
      <c r="G43" s="11"/>
      <c r="H43" s="10"/>
      <c r="I43" s="11"/>
      <c r="J43" s="10"/>
      <c r="K43" s="10"/>
      <c r="L43" s="10"/>
      <c r="M43" s="10"/>
      <c r="N43" s="10"/>
      <c r="Q43" s="11"/>
      <c r="R43" s="19">
        <f t="shared" si="0"/>
        <v>0</v>
      </c>
      <c r="S43" s="11"/>
      <c r="T43" s="27"/>
      <c r="U43" s="27"/>
      <c r="V43" s="11"/>
      <c r="W43" s="11"/>
      <c r="X43" s="11"/>
      <c r="Y43" s="10"/>
      <c r="Z43" s="10"/>
      <c r="AA43" s="10"/>
    </row>
    <row r="44" spans="1:27" ht="23.25" x14ac:dyDescent="0.7">
      <c r="A44" s="17"/>
      <c r="B44" s="53"/>
      <c r="C44" s="54"/>
      <c r="D44" s="55"/>
      <c r="E44" s="56"/>
      <c r="F44" s="10"/>
      <c r="G44" s="11"/>
      <c r="H44" s="10"/>
      <c r="I44" s="11"/>
      <c r="J44" s="10"/>
      <c r="K44" s="10"/>
      <c r="L44" s="10"/>
      <c r="M44" s="10"/>
      <c r="N44" s="10"/>
      <c r="Q44" s="11"/>
      <c r="R44" s="19">
        <f t="shared" si="0"/>
        <v>0</v>
      </c>
      <c r="S44" s="11"/>
      <c r="T44" s="27"/>
      <c r="U44" s="27"/>
      <c r="V44" s="11"/>
      <c r="W44" s="11"/>
      <c r="X44" s="11"/>
      <c r="Y44" s="10"/>
      <c r="Z44" s="10"/>
      <c r="AA44" s="10"/>
    </row>
    <row r="45" spans="1:27" ht="23.25" x14ac:dyDescent="0.7">
      <c r="A45" s="17"/>
      <c r="B45" s="53"/>
      <c r="C45" s="54"/>
      <c r="D45" s="55"/>
      <c r="E45" s="56"/>
      <c r="F45" s="10"/>
      <c r="G45" s="11"/>
      <c r="H45" s="10"/>
      <c r="I45" s="11"/>
      <c r="J45" s="10"/>
      <c r="K45" s="10"/>
      <c r="L45" s="10"/>
      <c r="M45" s="10"/>
      <c r="N45" s="10"/>
      <c r="Q45" s="11"/>
      <c r="R45" s="19">
        <f t="shared" si="0"/>
        <v>0</v>
      </c>
      <c r="S45" s="11"/>
      <c r="T45" s="27"/>
      <c r="U45" s="27"/>
      <c r="V45" s="11"/>
      <c r="W45" s="11"/>
      <c r="X45" s="11"/>
      <c r="Y45" s="10"/>
      <c r="Z45" s="10"/>
      <c r="AA45" s="10"/>
    </row>
    <row r="46" spans="1:27" ht="23.25" x14ac:dyDescent="0.7">
      <c r="A46" s="17"/>
      <c r="B46" s="53"/>
      <c r="C46" s="54"/>
      <c r="D46" s="55"/>
      <c r="E46" s="56"/>
      <c r="F46" s="10"/>
      <c r="G46" s="11"/>
      <c r="H46" s="10"/>
      <c r="I46" s="11"/>
      <c r="J46" s="10"/>
      <c r="K46" s="10"/>
      <c r="L46" s="10"/>
      <c r="M46" s="10"/>
      <c r="N46" s="10"/>
      <c r="Q46" s="11"/>
      <c r="R46" s="19">
        <f t="shared" si="0"/>
        <v>0</v>
      </c>
      <c r="S46" s="11"/>
      <c r="T46" s="27"/>
      <c r="U46" s="27"/>
      <c r="V46" s="11"/>
      <c r="W46" s="11"/>
      <c r="X46" s="11"/>
      <c r="Y46" s="10"/>
      <c r="Z46" s="10"/>
      <c r="AA46" s="10"/>
    </row>
    <row r="47" spans="1:27" ht="23.25" x14ac:dyDescent="0.7">
      <c r="A47" s="17"/>
      <c r="B47" s="53"/>
      <c r="C47" s="54"/>
      <c r="D47" s="55"/>
      <c r="E47" s="56"/>
      <c r="F47" s="10"/>
      <c r="G47" s="11"/>
      <c r="H47" s="10"/>
      <c r="I47" s="11"/>
      <c r="J47" s="10"/>
      <c r="K47" s="10"/>
      <c r="L47" s="10"/>
      <c r="M47" s="10"/>
      <c r="N47" s="10"/>
      <c r="Q47" s="11"/>
      <c r="R47" s="19">
        <f t="shared" si="0"/>
        <v>0</v>
      </c>
      <c r="S47" s="11"/>
      <c r="T47" s="27"/>
      <c r="U47" s="27"/>
      <c r="V47" s="11"/>
      <c r="W47" s="11"/>
      <c r="X47" s="11"/>
      <c r="Y47" s="10"/>
      <c r="Z47" s="10"/>
      <c r="AA47" s="10"/>
    </row>
    <row r="48" spans="1:27" ht="23.25" x14ac:dyDescent="0.7">
      <c r="A48" s="17"/>
      <c r="B48" s="53"/>
      <c r="C48" s="54"/>
      <c r="D48" s="55"/>
      <c r="E48" s="56"/>
      <c r="F48" s="10"/>
      <c r="G48" s="11"/>
      <c r="H48" s="10"/>
      <c r="I48" s="11"/>
      <c r="J48" s="10"/>
      <c r="K48" s="10"/>
      <c r="L48" s="10"/>
      <c r="M48" s="10"/>
      <c r="N48" s="10"/>
      <c r="Q48" s="11"/>
      <c r="R48" s="19">
        <f t="shared" si="0"/>
        <v>0</v>
      </c>
      <c r="S48" s="11"/>
      <c r="T48" s="27"/>
      <c r="U48" s="27"/>
      <c r="V48" s="11"/>
      <c r="W48" s="11"/>
      <c r="X48" s="11"/>
      <c r="Y48" s="10"/>
      <c r="Z48" s="10"/>
      <c r="AA48" s="10"/>
    </row>
    <row r="49" spans="1:27" ht="23.25" x14ac:dyDescent="0.7">
      <c r="A49" s="17"/>
      <c r="B49" s="53"/>
      <c r="C49" s="54"/>
      <c r="D49" s="55"/>
      <c r="E49" s="56"/>
      <c r="F49" s="10"/>
      <c r="G49" s="11"/>
      <c r="H49" s="10"/>
      <c r="I49" s="11"/>
      <c r="J49" s="10"/>
      <c r="K49" s="10"/>
      <c r="L49" s="10"/>
      <c r="M49" s="10"/>
      <c r="N49" s="10"/>
      <c r="Q49" s="11"/>
      <c r="R49" s="19">
        <f t="shared" si="0"/>
        <v>0</v>
      </c>
      <c r="S49" s="11"/>
      <c r="T49" s="27"/>
      <c r="U49" s="27"/>
      <c r="V49" s="11"/>
      <c r="W49" s="11"/>
      <c r="X49" s="11"/>
      <c r="Y49" s="10"/>
      <c r="Z49" s="10"/>
      <c r="AA49" s="10"/>
    </row>
    <row r="50" spans="1:27" ht="23.25" x14ac:dyDescent="0.7">
      <c r="A50" s="17"/>
      <c r="B50" s="53"/>
      <c r="C50" s="54"/>
      <c r="D50" s="55"/>
      <c r="E50" s="56"/>
      <c r="F50" s="10"/>
      <c r="G50" s="11"/>
      <c r="H50" s="10"/>
      <c r="I50" s="11"/>
      <c r="J50" s="10"/>
      <c r="K50" s="10"/>
      <c r="L50" s="10"/>
      <c r="M50" s="10"/>
      <c r="N50" s="10"/>
      <c r="Q50" s="11"/>
      <c r="R50" s="19">
        <f t="shared" si="0"/>
        <v>0</v>
      </c>
      <c r="S50" s="11"/>
      <c r="T50" s="27"/>
      <c r="U50" s="27"/>
      <c r="V50" s="11"/>
      <c r="W50" s="11"/>
      <c r="X50" s="11"/>
      <c r="Y50" s="10"/>
      <c r="Z50" s="10"/>
      <c r="AA50" s="10"/>
    </row>
    <row r="51" spans="1:27" ht="23.25" x14ac:dyDescent="0.7">
      <c r="A51" s="17"/>
      <c r="B51" s="53"/>
      <c r="C51" s="54"/>
      <c r="D51" s="55"/>
      <c r="E51" s="56"/>
      <c r="F51" s="10"/>
      <c r="G51" s="11"/>
      <c r="H51" s="10"/>
      <c r="I51" s="11"/>
      <c r="J51" s="10"/>
      <c r="K51" s="10"/>
      <c r="L51" s="10"/>
      <c r="M51" s="10"/>
      <c r="N51" s="10"/>
      <c r="Q51" s="11"/>
      <c r="R51" s="19">
        <f t="shared" si="0"/>
        <v>0</v>
      </c>
      <c r="S51" s="11"/>
      <c r="T51" s="27"/>
      <c r="U51" s="27"/>
      <c r="V51" s="11"/>
      <c r="W51" s="11"/>
      <c r="X51" s="11"/>
      <c r="Y51" s="10"/>
      <c r="Z51" s="10"/>
      <c r="AA51" s="10"/>
    </row>
    <row r="52" spans="1:27" ht="23.25" x14ac:dyDescent="0.7">
      <c r="A52" s="17"/>
      <c r="B52" s="53"/>
      <c r="C52" s="54"/>
      <c r="D52" s="55"/>
      <c r="E52" s="56"/>
      <c r="F52" s="10"/>
      <c r="G52" s="11"/>
      <c r="H52" s="10"/>
      <c r="I52" s="11"/>
      <c r="J52" s="10"/>
      <c r="K52" s="10"/>
      <c r="L52" s="10"/>
      <c r="M52" s="10"/>
      <c r="N52" s="10"/>
      <c r="Q52" s="11"/>
      <c r="R52" s="19">
        <f t="shared" si="0"/>
        <v>0</v>
      </c>
      <c r="S52" s="11"/>
      <c r="T52" s="27"/>
      <c r="U52" s="27"/>
      <c r="V52" s="11"/>
      <c r="W52" s="11"/>
      <c r="X52" s="11"/>
      <c r="Y52" s="10"/>
      <c r="Z52" s="10"/>
      <c r="AA52" s="10"/>
    </row>
    <row r="53" spans="1:27" ht="23.25" x14ac:dyDescent="0.7">
      <c r="A53" s="17"/>
      <c r="B53" s="53"/>
      <c r="C53" s="54"/>
      <c r="D53" s="55"/>
      <c r="E53" s="56"/>
      <c r="F53" s="10"/>
      <c r="G53" s="11"/>
      <c r="H53" s="10"/>
      <c r="I53" s="11"/>
      <c r="J53" s="10"/>
      <c r="K53" s="10"/>
      <c r="L53" s="10"/>
      <c r="M53" s="10"/>
      <c r="N53" s="10"/>
      <c r="Q53" s="11"/>
      <c r="R53" s="19">
        <f t="shared" si="0"/>
        <v>0</v>
      </c>
      <c r="S53" s="11"/>
      <c r="T53" s="27"/>
      <c r="U53" s="27"/>
      <c r="V53" s="11"/>
      <c r="W53" s="11"/>
      <c r="X53" s="11"/>
      <c r="Y53" s="10"/>
      <c r="Z53" s="10"/>
      <c r="AA53" s="10"/>
    </row>
    <row r="54" spans="1:27" ht="23.25" x14ac:dyDescent="0.7">
      <c r="A54" s="17"/>
      <c r="B54" s="53"/>
      <c r="C54" s="54"/>
      <c r="D54" s="55"/>
      <c r="E54" s="56"/>
      <c r="F54" s="10"/>
      <c r="G54" s="11"/>
      <c r="H54" s="10"/>
      <c r="I54" s="11"/>
      <c r="J54" s="10"/>
      <c r="K54" s="10"/>
      <c r="L54" s="10"/>
      <c r="M54" s="10"/>
      <c r="N54" s="10"/>
      <c r="Q54" s="11"/>
      <c r="R54" s="19">
        <f t="shared" si="0"/>
        <v>0</v>
      </c>
      <c r="S54" s="11"/>
      <c r="T54" s="27"/>
      <c r="U54" s="27"/>
      <c r="V54" s="11"/>
      <c r="W54" s="11"/>
      <c r="X54" s="11"/>
      <c r="Y54" s="10"/>
      <c r="Z54" s="10"/>
      <c r="AA54" s="10"/>
    </row>
    <row r="55" spans="1:27" ht="23.25" x14ac:dyDescent="0.7">
      <c r="A55" s="17"/>
      <c r="B55" s="53"/>
      <c r="C55" s="54"/>
      <c r="D55" s="55"/>
      <c r="E55" s="56"/>
      <c r="F55" s="10"/>
      <c r="G55" s="11"/>
      <c r="H55" s="10"/>
      <c r="I55" s="11"/>
      <c r="J55" s="10"/>
      <c r="K55" s="10"/>
      <c r="L55" s="10"/>
      <c r="M55" s="10"/>
      <c r="N55" s="10"/>
      <c r="Q55" s="28"/>
      <c r="R55" s="19">
        <f t="shared" si="0"/>
        <v>0</v>
      </c>
      <c r="S55" s="28"/>
      <c r="T55" s="27"/>
      <c r="U55" s="27"/>
      <c r="V55" s="11"/>
      <c r="W55" s="11"/>
      <c r="X55" s="11"/>
      <c r="Y55" s="10"/>
      <c r="Z55" s="10"/>
      <c r="AA55" s="10"/>
    </row>
    <row r="56" spans="1:27" ht="23.25" x14ac:dyDescent="0.7">
      <c r="A56" s="17"/>
      <c r="B56" s="53"/>
      <c r="C56" s="54"/>
      <c r="D56" s="55"/>
      <c r="E56" s="56"/>
      <c r="F56" s="10"/>
      <c r="G56" s="11"/>
      <c r="H56" s="10"/>
      <c r="I56" s="11"/>
      <c r="J56" s="10"/>
      <c r="K56" s="10"/>
      <c r="L56" s="10"/>
      <c r="M56" s="10"/>
      <c r="N56" s="10"/>
      <c r="Q56" s="28"/>
      <c r="R56" s="19">
        <f t="shared" si="0"/>
        <v>0</v>
      </c>
      <c r="S56" s="28"/>
      <c r="T56" s="27"/>
      <c r="U56" s="27"/>
      <c r="V56" s="11"/>
      <c r="W56" s="11"/>
      <c r="X56" s="11"/>
      <c r="Y56" s="10"/>
      <c r="Z56" s="10"/>
      <c r="AA56" s="10"/>
    </row>
    <row r="57" spans="1:27" ht="23.25" x14ac:dyDescent="0.7">
      <c r="A57" s="17"/>
      <c r="B57" s="53"/>
      <c r="C57" s="54"/>
      <c r="D57" s="55"/>
      <c r="E57" s="56"/>
      <c r="F57" s="10"/>
      <c r="G57" s="11"/>
      <c r="H57" s="10"/>
      <c r="I57" s="11"/>
      <c r="J57" s="10"/>
      <c r="K57" s="10"/>
      <c r="L57" s="10"/>
      <c r="M57" s="10"/>
      <c r="N57" s="10"/>
      <c r="Q57" s="28"/>
      <c r="R57" s="19">
        <f t="shared" si="0"/>
        <v>0</v>
      </c>
      <c r="S57" s="28"/>
      <c r="T57" s="27"/>
      <c r="U57" s="27"/>
      <c r="V57" s="11"/>
      <c r="W57" s="11"/>
      <c r="X57" s="11"/>
      <c r="Y57" s="10"/>
      <c r="Z57" s="10"/>
      <c r="AA57" s="10"/>
    </row>
    <row r="58" spans="1:27" ht="23.25" x14ac:dyDescent="0.7">
      <c r="A58" s="17"/>
      <c r="B58" s="53"/>
      <c r="C58" s="54"/>
      <c r="D58" s="55"/>
      <c r="E58" s="56"/>
      <c r="F58" s="10"/>
      <c r="G58" s="11"/>
      <c r="H58" s="10"/>
      <c r="I58" s="11"/>
      <c r="J58" s="10"/>
      <c r="K58" s="10"/>
      <c r="L58" s="10"/>
      <c r="M58" s="10"/>
      <c r="N58" s="10"/>
      <c r="Q58" s="28"/>
      <c r="R58" s="19">
        <f t="shared" si="0"/>
        <v>0</v>
      </c>
      <c r="S58" s="28"/>
      <c r="T58" s="27"/>
      <c r="U58" s="27"/>
      <c r="V58" s="11"/>
      <c r="W58" s="11"/>
      <c r="X58" s="11"/>
      <c r="Y58" s="10"/>
      <c r="Z58" s="10"/>
      <c r="AA58" s="10"/>
    </row>
    <row r="59" spans="1:27" ht="23.25" x14ac:dyDescent="0.7">
      <c r="A59" s="17"/>
      <c r="B59" s="53"/>
      <c r="C59" s="54"/>
      <c r="D59" s="55"/>
      <c r="E59" s="56"/>
      <c r="F59" s="10"/>
      <c r="G59" s="11"/>
      <c r="H59" s="10"/>
      <c r="I59" s="11"/>
      <c r="J59" s="10"/>
      <c r="K59" s="10"/>
      <c r="L59" s="10"/>
      <c r="M59" s="10"/>
      <c r="N59" s="10"/>
      <c r="Q59" s="28"/>
      <c r="R59" s="19">
        <f t="shared" si="0"/>
        <v>0</v>
      </c>
      <c r="S59" s="28"/>
      <c r="T59" s="27"/>
      <c r="U59" s="27"/>
      <c r="V59" s="11"/>
      <c r="W59" s="11"/>
      <c r="X59" s="11"/>
      <c r="Y59" s="10"/>
      <c r="Z59" s="10"/>
      <c r="AA59" s="10"/>
    </row>
    <row r="60" spans="1:27" ht="23.25" x14ac:dyDescent="0.7">
      <c r="A60" s="17"/>
      <c r="B60" s="53"/>
      <c r="C60" s="54"/>
      <c r="D60" s="55"/>
      <c r="E60" s="56"/>
      <c r="F60" s="10"/>
      <c r="G60" s="11"/>
      <c r="H60" s="10"/>
      <c r="I60" s="11"/>
      <c r="J60" s="10"/>
      <c r="K60" s="10"/>
      <c r="L60" s="10"/>
      <c r="M60" s="10"/>
      <c r="N60" s="10"/>
      <c r="Q60" s="28"/>
      <c r="R60" s="19">
        <f t="shared" si="0"/>
        <v>0</v>
      </c>
      <c r="S60" s="28"/>
      <c r="T60" s="27"/>
      <c r="U60" s="27"/>
      <c r="V60" s="11"/>
      <c r="W60" s="11"/>
      <c r="X60" s="11"/>
      <c r="Y60" s="10"/>
      <c r="Z60" s="10"/>
      <c r="AA60" s="10"/>
    </row>
    <row r="61" spans="1:27" ht="23.25" x14ac:dyDescent="0.7">
      <c r="A61" s="17"/>
      <c r="B61" s="53"/>
      <c r="C61" s="54"/>
      <c r="D61" s="55"/>
      <c r="E61" s="56"/>
      <c r="F61" s="10"/>
      <c r="G61" s="11"/>
      <c r="H61" s="10"/>
      <c r="I61" s="11"/>
      <c r="J61" s="10"/>
      <c r="K61" s="10"/>
      <c r="L61" s="10"/>
      <c r="M61" s="10"/>
      <c r="N61" s="10"/>
      <c r="Q61" s="28"/>
      <c r="R61" s="19">
        <f t="shared" si="0"/>
        <v>0</v>
      </c>
      <c r="S61" s="28"/>
      <c r="T61" s="27"/>
      <c r="U61" s="27"/>
      <c r="V61" s="11"/>
      <c r="W61" s="11"/>
      <c r="X61" s="11"/>
      <c r="Y61" s="10"/>
      <c r="Z61" s="10"/>
      <c r="AA61" s="10"/>
    </row>
    <row r="62" spans="1:27" ht="23.25" x14ac:dyDescent="0.7">
      <c r="A62" s="17"/>
      <c r="B62" s="53"/>
      <c r="C62" s="54"/>
      <c r="D62" s="55"/>
      <c r="E62" s="56"/>
      <c r="F62" s="10"/>
      <c r="G62" s="11"/>
      <c r="H62" s="10"/>
      <c r="I62" s="11"/>
      <c r="J62" s="10"/>
      <c r="K62" s="10"/>
      <c r="L62" s="10"/>
      <c r="M62" s="10"/>
      <c r="N62" s="10"/>
      <c r="Q62" s="28"/>
      <c r="R62" s="19">
        <f t="shared" si="0"/>
        <v>0</v>
      </c>
      <c r="S62" s="28"/>
      <c r="T62" s="27"/>
      <c r="U62" s="27"/>
      <c r="V62" s="11"/>
      <c r="W62" s="11"/>
      <c r="X62" s="11"/>
      <c r="Y62" s="10"/>
      <c r="Z62" s="10"/>
      <c r="AA62" s="10"/>
    </row>
    <row r="63" spans="1:27" ht="23.25" x14ac:dyDescent="0.7">
      <c r="A63" s="17"/>
      <c r="B63" s="53"/>
      <c r="C63" s="54"/>
      <c r="D63" s="55"/>
      <c r="E63" s="56"/>
      <c r="F63" s="10"/>
      <c r="G63" s="11"/>
      <c r="H63" s="10"/>
      <c r="I63" s="11"/>
      <c r="J63" s="10"/>
      <c r="K63" s="10"/>
      <c r="L63" s="10"/>
      <c r="M63" s="10"/>
      <c r="N63" s="10"/>
      <c r="Q63" s="28"/>
      <c r="R63" s="19">
        <f t="shared" si="0"/>
        <v>0</v>
      </c>
      <c r="S63" s="28"/>
      <c r="T63" s="27"/>
      <c r="U63" s="27"/>
      <c r="V63" s="11"/>
      <c r="W63" s="11"/>
      <c r="X63" s="11"/>
      <c r="Y63" s="10"/>
      <c r="Z63" s="10"/>
      <c r="AA63" s="10"/>
    </row>
    <row r="64" spans="1:27" ht="23.25" x14ac:dyDescent="0.7">
      <c r="A64" s="17"/>
      <c r="B64" s="53"/>
      <c r="C64" s="54"/>
      <c r="D64" s="55"/>
      <c r="E64" s="56"/>
      <c r="F64" s="10"/>
      <c r="G64" s="11"/>
      <c r="H64" s="10"/>
      <c r="I64" s="11"/>
      <c r="J64" s="10"/>
      <c r="K64" s="10"/>
      <c r="L64" s="10"/>
      <c r="M64" s="10"/>
      <c r="N64" s="10"/>
      <c r="Q64" s="28"/>
      <c r="R64" s="19">
        <f t="shared" si="0"/>
        <v>0</v>
      </c>
      <c r="S64" s="28"/>
      <c r="T64" s="27"/>
      <c r="U64" s="27"/>
      <c r="V64" s="11"/>
      <c r="W64" s="11"/>
      <c r="X64" s="11"/>
      <c r="Y64" s="10"/>
      <c r="Z64" s="10"/>
      <c r="AA64" s="10"/>
    </row>
    <row r="65" spans="1:27" ht="23.25" x14ac:dyDescent="0.7">
      <c r="A65" s="17"/>
      <c r="B65" s="53"/>
      <c r="C65" s="54"/>
      <c r="D65" s="55"/>
      <c r="E65" s="56"/>
      <c r="F65" s="10"/>
      <c r="G65" s="11"/>
      <c r="H65" s="10"/>
      <c r="I65" s="11"/>
      <c r="J65" s="10"/>
      <c r="K65" s="10"/>
      <c r="L65" s="10"/>
      <c r="M65" s="10"/>
      <c r="N65" s="10"/>
      <c r="Q65" s="28"/>
      <c r="R65" s="19">
        <f t="shared" si="0"/>
        <v>0</v>
      </c>
      <c r="S65" s="28"/>
      <c r="T65" s="27"/>
      <c r="U65" s="27"/>
      <c r="V65" s="11"/>
      <c r="W65" s="11"/>
      <c r="X65" s="11"/>
      <c r="Y65" s="10"/>
      <c r="Z65" s="10"/>
      <c r="AA65" s="10"/>
    </row>
    <row r="66" spans="1:27" x14ac:dyDescent="0.45">
      <c r="A66" s="10"/>
      <c r="B66" s="10"/>
      <c r="C66" s="10"/>
      <c r="D66" s="10"/>
      <c r="E66" s="10"/>
      <c r="F66" s="10"/>
      <c r="G66" s="10"/>
      <c r="H66" s="10"/>
      <c r="I66" s="10"/>
      <c r="J66" s="10"/>
      <c r="K66" s="10"/>
      <c r="L66" s="10"/>
      <c r="M66" s="10"/>
      <c r="N66" s="10"/>
      <c r="Q66" s="10"/>
      <c r="R66" s="10"/>
      <c r="S66" s="10"/>
      <c r="T66" s="27"/>
      <c r="U66" s="27"/>
      <c r="V66" s="10"/>
      <c r="W66" s="10"/>
      <c r="X66" s="10"/>
      <c r="Y66" s="10"/>
      <c r="Z66" s="10"/>
      <c r="AA66" s="10"/>
    </row>
    <row r="67" spans="1:27" x14ac:dyDescent="0.45">
      <c r="A67" s="10"/>
      <c r="B67" s="10"/>
      <c r="C67" s="10"/>
      <c r="D67" s="10"/>
      <c r="E67" s="10"/>
      <c r="F67" s="10"/>
      <c r="G67" s="10"/>
      <c r="H67" s="10"/>
      <c r="I67" s="10"/>
      <c r="J67" s="10"/>
      <c r="K67" s="10"/>
      <c r="L67" s="10"/>
      <c r="M67" s="10"/>
      <c r="N67" s="10"/>
      <c r="Q67" s="10"/>
      <c r="R67" s="10"/>
      <c r="S67" s="10"/>
      <c r="T67" s="10"/>
      <c r="U67" s="10"/>
      <c r="V67" s="10"/>
      <c r="W67" s="10"/>
      <c r="X67" s="10"/>
      <c r="Y67" s="10"/>
      <c r="Z67" s="10"/>
      <c r="AA67" s="10"/>
    </row>
    <row r="68" spans="1:27" x14ac:dyDescent="0.45">
      <c r="A68" s="10"/>
      <c r="B68" s="10"/>
      <c r="C68" s="10"/>
      <c r="D68" s="10"/>
      <c r="E68" s="10"/>
      <c r="F68" s="10"/>
      <c r="G68" s="10"/>
      <c r="H68" s="10"/>
      <c r="I68" s="10"/>
      <c r="J68" s="10"/>
      <c r="K68" s="10"/>
      <c r="L68" s="10"/>
      <c r="M68" s="10"/>
      <c r="N68" s="10"/>
      <c r="Q68" s="10"/>
      <c r="R68" s="10"/>
      <c r="S68" s="10"/>
      <c r="T68" s="10"/>
      <c r="U68" s="10"/>
      <c r="V68" s="10"/>
      <c r="W68" s="10"/>
      <c r="X68" s="10"/>
      <c r="Y68" s="10"/>
      <c r="Z68" s="10"/>
      <c r="AA68" s="10"/>
    </row>
    <row r="69" spans="1:27" x14ac:dyDescent="0.45">
      <c r="A69" s="10"/>
      <c r="B69" s="10"/>
      <c r="C69" s="10"/>
      <c r="D69" s="10"/>
      <c r="E69" s="10"/>
      <c r="F69" s="10"/>
      <c r="G69" s="10"/>
      <c r="H69" s="10"/>
      <c r="I69" s="10"/>
      <c r="J69" s="10"/>
      <c r="K69" s="10"/>
      <c r="L69" s="10"/>
      <c r="M69" s="10"/>
      <c r="N69" s="10"/>
      <c r="Q69" s="10"/>
      <c r="R69" s="10"/>
      <c r="S69" s="10"/>
      <c r="T69" s="10"/>
      <c r="U69" s="10"/>
      <c r="V69" s="10"/>
      <c r="W69" s="10"/>
      <c r="X69" s="10"/>
      <c r="Y69" s="10"/>
      <c r="Z69" s="10"/>
      <c r="AA69" s="10"/>
    </row>
    <row r="70" spans="1:27" x14ac:dyDescent="0.45">
      <c r="A70" s="10"/>
      <c r="B70" s="10"/>
      <c r="C70" s="10"/>
      <c r="D70" s="10"/>
      <c r="E70" s="10"/>
      <c r="F70" s="10"/>
      <c r="G70" s="10"/>
      <c r="H70" s="10"/>
      <c r="I70" s="10"/>
      <c r="J70" s="10"/>
      <c r="K70" s="10"/>
      <c r="L70" s="10"/>
      <c r="M70" s="10"/>
      <c r="N70" s="10"/>
      <c r="Q70" s="10"/>
      <c r="R70" s="10"/>
      <c r="S70" s="10"/>
      <c r="T70" s="10"/>
      <c r="U70" s="10"/>
      <c r="V70" s="10"/>
      <c r="W70" s="10"/>
      <c r="X70" s="10"/>
      <c r="Y70" s="10"/>
      <c r="Z70" s="10"/>
      <c r="AA70" s="10"/>
    </row>
    <row r="71" spans="1:27" x14ac:dyDescent="0.45">
      <c r="A71" s="10"/>
      <c r="B71" s="10"/>
      <c r="C71" s="10"/>
      <c r="D71" s="10"/>
      <c r="E71" s="10"/>
      <c r="F71" s="10"/>
      <c r="G71" s="10"/>
      <c r="H71" s="10"/>
      <c r="I71" s="10"/>
      <c r="J71" s="10"/>
      <c r="K71" s="10"/>
      <c r="L71" s="10"/>
      <c r="M71" s="10"/>
      <c r="N71" s="10"/>
      <c r="Q71" s="10"/>
      <c r="R71" s="10"/>
      <c r="S71" s="10"/>
      <c r="T71" s="10"/>
      <c r="U71" s="10"/>
      <c r="V71" s="10"/>
      <c r="W71" s="10"/>
      <c r="X71" s="10"/>
      <c r="Y71" s="10"/>
      <c r="Z71" s="10"/>
      <c r="AA71" s="10"/>
    </row>
    <row r="72" spans="1:27" x14ac:dyDescent="0.45">
      <c r="A72" s="10"/>
      <c r="B72" s="10"/>
      <c r="C72" s="10"/>
      <c r="D72" s="10"/>
      <c r="E72" s="10"/>
      <c r="F72" s="10"/>
      <c r="G72" s="10"/>
      <c r="H72" s="10"/>
      <c r="I72" s="10"/>
      <c r="J72" s="10"/>
      <c r="K72" s="10"/>
      <c r="L72" s="10"/>
      <c r="M72" s="10"/>
      <c r="N72" s="10"/>
      <c r="Q72" s="10"/>
      <c r="R72" s="10"/>
      <c r="S72" s="10"/>
      <c r="T72" s="10"/>
      <c r="U72" s="10"/>
      <c r="V72" s="10"/>
      <c r="W72" s="10"/>
      <c r="X72" s="10"/>
      <c r="Y72" s="10"/>
      <c r="Z72" s="10"/>
      <c r="AA72" s="10"/>
    </row>
    <row r="73" spans="1:27" x14ac:dyDescent="0.45">
      <c r="A73" s="10"/>
      <c r="B73" s="10"/>
      <c r="C73" s="10"/>
      <c r="D73" s="10"/>
      <c r="E73" s="10"/>
      <c r="F73" s="10"/>
      <c r="G73" s="10"/>
      <c r="H73" s="10"/>
      <c r="I73" s="10"/>
      <c r="J73" s="10"/>
      <c r="K73" s="10"/>
      <c r="L73" s="10"/>
      <c r="M73" s="10"/>
      <c r="N73" s="10"/>
      <c r="Q73" s="10"/>
      <c r="R73" s="10"/>
      <c r="S73" s="10"/>
      <c r="T73" s="10"/>
      <c r="U73" s="10"/>
      <c r="V73" s="10"/>
      <c r="W73" s="10"/>
      <c r="X73" s="10"/>
      <c r="Y73" s="10"/>
      <c r="Z73" s="10"/>
      <c r="AA73" s="10"/>
    </row>
    <row r="74" spans="1:27" x14ac:dyDescent="0.45">
      <c r="A74" s="10"/>
      <c r="B74" s="10"/>
      <c r="C74" s="10"/>
      <c r="D74" s="10"/>
      <c r="E74" s="10"/>
      <c r="F74" s="10"/>
      <c r="G74" s="10"/>
      <c r="H74" s="10"/>
      <c r="I74" s="10"/>
      <c r="J74" s="10"/>
      <c r="K74" s="10"/>
      <c r="L74" s="10"/>
      <c r="M74" s="10"/>
      <c r="N74" s="10"/>
      <c r="Q74" s="10"/>
      <c r="R74" s="10"/>
      <c r="S74" s="10"/>
      <c r="T74" s="10"/>
      <c r="U74" s="10"/>
      <c r="V74" s="10"/>
      <c r="W74" s="10"/>
      <c r="X74" s="10"/>
      <c r="Y74" s="10"/>
      <c r="Z74" s="10"/>
      <c r="AA74" s="10"/>
    </row>
    <row r="75" spans="1:27" x14ac:dyDescent="0.45">
      <c r="A75" s="10"/>
      <c r="B75" s="10"/>
      <c r="C75" s="10"/>
      <c r="D75" s="10"/>
      <c r="E75" s="10"/>
      <c r="F75" s="10"/>
      <c r="G75" s="10"/>
      <c r="H75" s="10"/>
      <c r="I75" s="10"/>
      <c r="J75" s="10"/>
      <c r="K75" s="10"/>
      <c r="L75" s="10"/>
      <c r="M75" s="10"/>
      <c r="N75" s="10"/>
      <c r="Q75" s="10"/>
      <c r="R75" s="10"/>
      <c r="S75" s="10"/>
      <c r="T75" s="10"/>
      <c r="U75" s="10"/>
      <c r="V75" s="10"/>
      <c r="W75" s="10"/>
      <c r="X75" s="10"/>
      <c r="Y75" s="10"/>
      <c r="Z75" s="10"/>
      <c r="AA75" s="10"/>
    </row>
    <row r="76" spans="1:27" x14ac:dyDescent="0.45">
      <c r="A76" s="10"/>
      <c r="B76" s="10"/>
      <c r="C76" s="10"/>
      <c r="D76" s="10"/>
      <c r="E76" s="10"/>
      <c r="F76" s="10"/>
      <c r="G76" s="10"/>
      <c r="H76" s="10"/>
      <c r="I76" s="10"/>
      <c r="J76" s="10"/>
      <c r="K76" s="10"/>
      <c r="L76" s="10"/>
      <c r="M76" s="10"/>
      <c r="N76" s="10"/>
      <c r="Q76" s="10"/>
      <c r="R76" s="10"/>
      <c r="S76" s="10"/>
      <c r="T76" s="10"/>
      <c r="U76" s="10"/>
      <c r="V76" s="10"/>
      <c r="W76" s="10"/>
      <c r="X76" s="10"/>
      <c r="Y76" s="10"/>
      <c r="Z76" s="10"/>
      <c r="AA76" s="10"/>
    </row>
    <row r="77" spans="1:27" x14ac:dyDescent="0.45">
      <c r="Y77" s="10"/>
      <c r="Z77" s="10"/>
      <c r="AA77" s="10"/>
    </row>
    <row r="78" spans="1:27" x14ac:dyDescent="0.45">
      <c r="Y78" s="10"/>
      <c r="Z78" s="10"/>
      <c r="AA78" s="10"/>
    </row>
  </sheetData>
  <mergeCells count="14">
    <mergeCell ref="V18:V21"/>
    <mergeCell ref="W18:X21"/>
    <mergeCell ref="B9:C9"/>
    <mergeCell ref="D9:E9"/>
    <mergeCell ref="B4:E4"/>
    <mergeCell ref="Q4:S4"/>
    <mergeCell ref="V4:X4"/>
    <mergeCell ref="W9:X9"/>
    <mergeCell ref="W14:X17"/>
    <mergeCell ref="W10:X10"/>
    <mergeCell ref="W11:X11"/>
    <mergeCell ref="W12:X12"/>
    <mergeCell ref="W13:X13"/>
    <mergeCell ref="V14:V17"/>
  </mergeCells>
  <conditionalFormatting sqref="R10:R65">
    <cfRule type="dataBar" priority="2">
      <dataBar showValue="0">
        <cfvo type="num" val="0"/>
        <cfvo type="num" val="1"/>
        <color theme="8" tint="-0.249977111117893"/>
      </dataBar>
      <extLst>
        <ext xmlns:x14="http://schemas.microsoft.com/office/spreadsheetml/2009/9/main" uri="{B025F937-C7B1-47D3-B67F-A62EFF666E3E}">
          <x14:id>{98ECA37D-C10E-4B4C-90A0-752034AC9BAE}</x14:id>
        </ext>
      </extLst>
    </cfRule>
    <cfRule type="dataBar" priority="3">
      <dataBar>
        <cfvo type="num" val="0"/>
        <cfvo type="num" val="1"/>
        <color theme="8" tint="-0.249977111117893"/>
      </dataBar>
      <extLst>
        <ext xmlns:x14="http://schemas.microsoft.com/office/spreadsheetml/2009/9/main" uri="{B025F937-C7B1-47D3-B67F-A62EFF666E3E}">
          <x14:id>{E56909C7-7EBB-472F-B2FA-0A69E789C6BB}</x14:id>
        </ext>
      </extLst>
    </cfRule>
  </conditionalFormatting>
  <conditionalFormatting sqref="R10:R65">
    <cfRule type="dataBar" priority="1">
      <dataBar showValue="0">
        <cfvo type="num" val="0"/>
        <cfvo type="num" val="1"/>
        <color theme="8" tint="-0.249977111117893"/>
      </dataBar>
      <extLst>
        <ext xmlns:x14="http://schemas.microsoft.com/office/spreadsheetml/2009/9/main" uri="{B025F937-C7B1-47D3-B67F-A62EFF666E3E}">
          <x14:id>{6575C7BD-25E1-4B44-89B1-9B04E9AB4B25}</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98ECA37D-C10E-4B4C-90A0-752034AC9BAE}">
            <x14:dataBar minLength="0" maxLength="100">
              <x14:cfvo type="num">
                <xm:f>0</xm:f>
              </x14:cfvo>
              <x14:cfvo type="num">
                <xm:f>1</xm:f>
              </x14:cfvo>
              <x14:negativeFillColor rgb="FFFF0000"/>
              <x14:axisColor rgb="FF000000"/>
            </x14:dataBar>
          </x14:cfRule>
          <x14:cfRule type="dataBar" id="{E56909C7-7EBB-472F-B2FA-0A69E789C6BB}">
            <x14:dataBar minLength="0" maxLength="100">
              <x14:cfvo type="num">
                <xm:f>0</xm:f>
              </x14:cfvo>
              <x14:cfvo type="num">
                <xm:f>1</xm:f>
              </x14:cfvo>
              <x14:negativeFillColor rgb="FFFF0000"/>
              <x14:axisColor rgb="FF000000"/>
            </x14:dataBar>
          </x14:cfRule>
          <xm:sqref>R10:R65</xm:sqref>
        </x14:conditionalFormatting>
        <x14:conditionalFormatting xmlns:xm="http://schemas.microsoft.com/office/excel/2006/main">
          <x14:cfRule type="dataBar" id="{6575C7BD-25E1-4B44-89B1-9B04E9AB4B25}">
            <x14:dataBar minLength="0" maxLength="100">
              <x14:cfvo type="num">
                <xm:f>0</xm:f>
              </x14:cfvo>
              <x14:cfvo type="num">
                <xm:f>1</xm:f>
              </x14:cfvo>
              <x14:negativeFillColor rgb="FFFF0000"/>
              <x14:axisColor rgb="FF000000"/>
            </x14:dataBar>
          </x14:cfRule>
          <xm:sqref>R10:R65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46"/>
  <sheetViews>
    <sheetView zoomScale="93" workbookViewId="0">
      <selection activeCell="I17" sqref="I17"/>
    </sheetView>
  </sheetViews>
  <sheetFormatPr defaultColWidth="8.86328125" defaultRowHeight="14.25" x14ac:dyDescent="0.45"/>
  <cols>
    <col min="1" max="1" width="10.3984375" bestFit="1" customWidth="1"/>
    <col min="2" max="2" width="16.9296875" customWidth="1"/>
    <col min="3" max="3" width="13.9296875" customWidth="1"/>
    <col min="4" max="4" width="11.59765625" customWidth="1"/>
    <col min="5" max="5" width="13.9296875" customWidth="1"/>
    <col min="6" max="6" width="14.3984375" customWidth="1"/>
    <col min="9" max="9" width="12.06640625" bestFit="1" customWidth="1"/>
    <col min="10" max="10" width="14.6640625" bestFit="1" customWidth="1"/>
    <col min="11" max="11" width="13.6640625" bestFit="1" customWidth="1"/>
    <col min="12" max="15" width="13.6640625" customWidth="1"/>
    <col min="16" max="16" width="12.19921875" bestFit="1" customWidth="1"/>
    <col min="17" max="17" width="14.3984375" bestFit="1" customWidth="1"/>
    <col min="18" max="18" width="3.796875" bestFit="1" customWidth="1"/>
    <col min="19" max="19" width="4.796875" bestFit="1" customWidth="1"/>
    <col min="20" max="20" width="13.6640625" customWidth="1"/>
    <col min="21" max="21" width="10.19921875" bestFit="1" customWidth="1"/>
    <col min="22" max="27" width="13.6640625" customWidth="1"/>
    <col min="28" max="28" width="6.46484375" bestFit="1" customWidth="1"/>
    <col min="29" max="29" width="10.265625" bestFit="1" customWidth="1"/>
    <col min="30" max="30" width="9.265625" bestFit="1" customWidth="1"/>
    <col min="31" max="31" width="4.73046875" bestFit="1" customWidth="1"/>
    <col min="32" max="32" width="6.46484375" bestFit="1" customWidth="1"/>
    <col min="33" max="33" width="11.06640625" bestFit="1" customWidth="1"/>
    <col min="34" max="34" width="10.265625" bestFit="1" customWidth="1"/>
    <col min="35" max="35" width="18.265625" bestFit="1" customWidth="1"/>
    <col min="36" max="36" width="19.265625" bestFit="1" customWidth="1"/>
  </cols>
  <sheetData>
    <row r="1" spans="1:32" x14ac:dyDescent="0.45">
      <c r="A1" s="32" t="s">
        <v>0</v>
      </c>
      <c r="B1" s="32" t="s">
        <v>1</v>
      </c>
      <c r="C1" s="32" t="s">
        <v>2</v>
      </c>
      <c r="D1" s="32" t="s">
        <v>11</v>
      </c>
      <c r="E1" s="32" t="s">
        <v>50</v>
      </c>
      <c r="F1" s="33" t="s">
        <v>51</v>
      </c>
    </row>
    <row r="2" spans="1:32" x14ac:dyDescent="0.45">
      <c r="A2" s="8">
        <v>45932</v>
      </c>
      <c r="B2" t="s">
        <v>70</v>
      </c>
      <c r="C2" t="s">
        <v>93</v>
      </c>
      <c r="D2">
        <v>58.23</v>
      </c>
      <c r="E2" s="29" t="str">
        <f>IF(TEXT($A2,"yyyymm") = TEXT($Q$18,"yyyymm"), $B2, "")</f>
        <v/>
      </c>
      <c r="F2" s="34" t="str">
        <f t="shared" ref="F2:F45" si="0">IF(TEXT($A2,"yyyymm") = TEXT($Q$18,"yyyymm"), $D2, "")</f>
        <v/>
      </c>
      <c r="I2" t="str">
        <f>'Home Page'!C2</f>
        <v>november</v>
      </c>
      <c r="J2">
        <f>'Home Page'!E2</f>
        <v>2025</v>
      </c>
      <c r="L2" t="s">
        <v>28</v>
      </c>
      <c r="P2" t="s">
        <v>31</v>
      </c>
      <c r="S2" t="s">
        <v>26</v>
      </c>
      <c r="T2" s="9">
        <f>EDATE(Z2, -2)</f>
        <v>45901</v>
      </c>
      <c r="V2" t="s">
        <v>27</v>
      </c>
      <c r="W2" s="9">
        <f>EDATE(Z2, -1)</f>
        <v>45931</v>
      </c>
      <c r="Y2" t="s">
        <v>34</v>
      </c>
      <c r="Z2" s="9">
        <f>DATE('Home Page'!E2, MATCH('Home Page'!C2, {"january","february","march","april","may","june","july","august","september","october","november","december"}, 0), 1)</f>
        <v>45962</v>
      </c>
      <c r="AC2" t="s">
        <v>25</v>
      </c>
    </row>
    <row r="3" spans="1:32" x14ac:dyDescent="0.45">
      <c r="A3" s="8">
        <v>45934</v>
      </c>
      <c r="B3" t="s">
        <v>71</v>
      </c>
      <c r="C3" t="s">
        <v>16</v>
      </c>
      <c r="D3">
        <v>42</v>
      </c>
      <c r="E3" s="29" t="str">
        <f t="shared" ref="E3:E43" si="1">IF(TEXT($A3,"yyyymm") = TEXT($Q$18,"yyyymm"), $B3, "")</f>
        <v/>
      </c>
      <c r="F3" s="35" t="str">
        <f t="shared" si="0"/>
        <v/>
      </c>
      <c r="I3" t="s">
        <v>4</v>
      </c>
      <c r="J3" t="s">
        <v>12</v>
      </c>
      <c r="L3" s="5" t="s">
        <v>30</v>
      </c>
      <c r="M3" s="5" t="s">
        <v>29</v>
      </c>
      <c r="N3" s="5" t="s">
        <v>24</v>
      </c>
      <c r="P3" t="s">
        <v>32</v>
      </c>
      <c r="Q3" t="s">
        <v>29</v>
      </c>
      <c r="R3" t="s">
        <v>33</v>
      </c>
      <c r="S3" t="s">
        <v>29</v>
      </c>
      <c r="T3" t="s">
        <v>33</v>
      </c>
      <c r="V3" t="s">
        <v>29</v>
      </c>
      <c r="W3" t="s">
        <v>33</v>
      </c>
      <c r="Y3" t="s">
        <v>29</v>
      </c>
      <c r="Z3" t="s">
        <v>33</v>
      </c>
      <c r="AC3" s="65">
        <v>45932</v>
      </c>
      <c r="AD3" s="61" t="s">
        <v>70</v>
      </c>
      <c r="AE3" s="61" t="s">
        <v>93</v>
      </c>
      <c r="AF3" s="62">
        <v>58.23</v>
      </c>
    </row>
    <row r="4" spans="1:32" x14ac:dyDescent="0.45">
      <c r="A4" s="8">
        <v>45936</v>
      </c>
      <c r="B4" t="s">
        <v>72</v>
      </c>
      <c r="C4" t="s">
        <v>4</v>
      </c>
      <c r="D4">
        <v>480</v>
      </c>
      <c r="E4" s="29" t="str">
        <f t="shared" si="1"/>
        <v/>
      </c>
      <c r="F4" s="34" t="str">
        <f t="shared" si="0"/>
        <v/>
      </c>
      <c r="I4">
        <f>'Home Page'!C10</f>
        <v>600</v>
      </c>
      <c r="J4">
        <f>'Home Page'!E10</f>
        <v>283.28999999999996</v>
      </c>
      <c r="L4" s="4">
        <f>A2</f>
        <v>45932</v>
      </c>
      <c r="M4" s="3">
        <f>IF(C2="income", D2, 0)</f>
        <v>0</v>
      </c>
      <c r="N4" s="3">
        <f>IF(C2&lt;&gt;"income", D2, 0)</f>
        <v>58.23</v>
      </c>
      <c r="P4" s="9">
        <f>T2</f>
        <v>45901</v>
      </c>
      <c r="Q4">
        <f>S4</f>
        <v>0</v>
      </c>
      <c r="R4">
        <f>T4</f>
        <v>0</v>
      </c>
      <c r="S4">
        <f>SUMIFS(M:M, L:L, "&gt;=" &amp; EDATE($T$2, 0), L:L, "&lt;" &amp; EDATE($T$2, 1))</f>
        <v>0</v>
      </c>
      <c r="T4">
        <f>SUMIFS(N:N, L:L, "&gt;=" &amp; EDATE($T$2, 0), L:L, "&lt;" &amp; EDATE($T$2, 1))</f>
        <v>0</v>
      </c>
      <c r="V4">
        <f>SUMIFS(M:M,L:L,"&gt;="&amp;EDATE($W$2,0),L:L,"&lt;"&amp;EDATE($W$2,1))</f>
        <v>560</v>
      </c>
      <c r="W4">
        <f>SUMIFS(N:N, L:L, "&gt;=" &amp; EDATE($W$2, 0), L:L, "&lt;" &amp; EDATE($W$2, 1))</f>
        <v>351.85999999999996</v>
      </c>
      <c r="Y4">
        <f>SUMIFS(M:M, L:L, "&gt;=" &amp; EDATE($Z$2, 0), L:L, "&lt;" &amp; EDATE($Z$2, 1))</f>
        <v>600</v>
      </c>
      <c r="Z4">
        <f>SUMIFS(N:N, L:L, "&gt;=" &amp; EDATE($Z$2, 0), L:L, "&lt;" &amp; EDATE($Z$2, 1))</f>
        <v>283.28999999999996</v>
      </c>
      <c r="AC4" s="66">
        <v>45934</v>
      </c>
      <c r="AD4" s="63" t="s">
        <v>71</v>
      </c>
      <c r="AE4" s="63" t="s">
        <v>16</v>
      </c>
      <c r="AF4" s="64">
        <v>42</v>
      </c>
    </row>
    <row r="5" spans="1:32" ht="18" x14ac:dyDescent="0.55000000000000004">
      <c r="A5" s="8">
        <v>45938</v>
      </c>
      <c r="B5" t="s">
        <v>73</v>
      </c>
      <c r="C5" t="s">
        <v>16</v>
      </c>
      <c r="D5">
        <v>128</v>
      </c>
      <c r="E5" s="29" t="str">
        <f t="shared" si="1"/>
        <v/>
      </c>
      <c r="F5" s="35" t="str">
        <f t="shared" si="0"/>
        <v/>
      </c>
      <c r="I5" s="81" t="s">
        <v>66</v>
      </c>
      <c r="J5" s="81"/>
      <c r="L5" s="4">
        <f t="shared" ref="L5:L18" si="2">A3</f>
        <v>45934</v>
      </c>
      <c r="M5" s="3">
        <f t="shared" ref="M5:M18" si="3">IF(C3="income", D3, 0)</f>
        <v>0</v>
      </c>
      <c r="N5" s="3">
        <f>IF(C3&lt;&gt;"income", D3, 0)</f>
        <v>42</v>
      </c>
      <c r="P5" s="9">
        <f>W2</f>
        <v>45931</v>
      </c>
      <c r="Q5">
        <f>V4</f>
        <v>560</v>
      </c>
      <c r="R5">
        <f>W4</f>
        <v>351.85999999999996</v>
      </c>
      <c r="AC5" s="65">
        <v>45936</v>
      </c>
      <c r="AD5" s="61" t="s">
        <v>72</v>
      </c>
      <c r="AE5" s="61" t="s">
        <v>4</v>
      </c>
      <c r="AF5" s="62">
        <v>480</v>
      </c>
    </row>
    <row r="6" spans="1:32" x14ac:dyDescent="0.45">
      <c r="A6" s="8">
        <v>45942</v>
      </c>
      <c r="B6" t="s">
        <v>74</v>
      </c>
      <c r="C6" t="s">
        <v>93</v>
      </c>
      <c r="D6">
        <v>34.99</v>
      </c>
      <c r="E6" s="29" t="str">
        <f t="shared" si="1"/>
        <v/>
      </c>
      <c r="F6" s="34" t="str">
        <f t="shared" si="0"/>
        <v/>
      </c>
      <c r="L6" s="6">
        <f t="shared" si="2"/>
        <v>45936</v>
      </c>
      <c r="M6" s="7">
        <f t="shared" si="3"/>
        <v>480</v>
      </c>
      <c r="N6" s="7">
        <f t="shared" ref="N6:N18" si="4">IF(C4&lt;&gt;"income", D4, 0)</f>
        <v>0</v>
      </c>
      <c r="P6" s="9">
        <f>Z2</f>
        <v>45962</v>
      </c>
      <c r="Q6">
        <f>Y4</f>
        <v>600</v>
      </c>
      <c r="R6">
        <f>Z4</f>
        <v>283.28999999999996</v>
      </c>
      <c r="AC6" s="66">
        <v>45938</v>
      </c>
      <c r="AD6" s="63" t="s">
        <v>73</v>
      </c>
      <c r="AE6" s="63" t="s">
        <v>16</v>
      </c>
      <c r="AF6" s="64">
        <v>128</v>
      </c>
    </row>
    <row r="7" spans="1:32" x14ac:dyDescent="0.45">
      <c r="A7" s="8">
        <v>45944</v>
      </c>
      <c r="B7" t="s">
        <v>75</v>
      </c>
      <c r="C7" t="s">
        <v>17</v>
      </c>
      <c r="D7">
        <v>19.5</v>
      </c>
      <c r="E7" s="29" t="str">
        <f t="shared" si="1"/>
        <v/>
      </c>
      <c r="F7" s="35" t="str">
        <f t="shared" si="0"/>
        <v/>
      </c>
      <c r="L7" s="6">
        <f t="shared" si="2"/>
        <v>45938</v>
      </c>
      <c r="M7" s="7">
        <f t="shared" si="3"/>
        <v>0</v>
      </c>
      <c r="N7" s="7">
        <f t="shared" si="4"/>
        <v>128</v>
      </c>
      <c r="P7" t="str">
        <f>"projection: " &amp; LOWER(TEXT(EDATE(Z2, 1), "mmmm yyyy"))</f>
        <v>projection: december 2025</v>
      </c>
      <c r="Q7">
        <f>SUM(Q4:Q6)/3 * 1.05</f>
        <v>406.00000000000006</v>
      </c>
      <c r="R7">
        <f>SUM(R4:R6)/3 *1.05</f>
        <v>222.30249999999995</v>
      </c>
      <c r="AC7" s="65">
        <v>45942</v>
      </c>
      <c r="AD7" s="61" t="s">
        <v>74</v>
      </c>
      <c r="AE7" s="61" t="s">
        <v>93</v>
      </c>
      <c r="AF7" s="62">
        <v>34.99</v>
      </c>
    </row>
    <row r="8" spans="1:32" x14ac:dyDescent="0.45">
      <c r="A8" s="8">
        <v>45948</v>
      </c>
      <c r="B8" t="s">
        <v>76</v>
      </c>
      <c r="C8" t="s">
        <v>93</v>
      </c>
      <c r="D8">
        <v>11.75</v>
      </c>
      <c r="E8" s="29" t="str">
        <f t="shared" si="1"/>
        <v/>
      </c>
      <c r="F8" s="34" t="str">
        <f t="shared" si="0"/>
        <v/>
      </c>
      <c r="L8" s="6">
        <f t="shared" si="2"/>
        <v>45942</v>
      </c>
      <c r="M8" s="7">
        <f t="shared" si="3"/>
        <v>0</v>
      </c>
      <c r="N8" s="7">
        <f t="shared" si="4"/>
        <v>34.99</v>
      </c>
      <c r="AC8" s="66">
        <v>45944</v>
      </c>
      <c r="AD8" s="63" t="s">
        <v>75</v>
      </c>
      <c r="AE8" s="63" t="s">
        <v>17</v>
      </c>
      <c r="AF8" s="64">
        <v>19.5</v>
      </c>
    </row>
    <row r="9" spans="1:32" x14ac:dyDescent="0.45">
      <c r="A9" s="8">
        <v>45951</v>
      </c>
      <c r="B9" t="s">
        <v>77</v>
      </c>
      <c r="C9" t="s">
        <v>4</v>
      </c>
      <c r="D9">
        <v>80</v>
      </c>
      <c r="E9" s="29" t="str">
        <f t="shared" si="1"/>
        <v/>
      </c>
      <c r="F9" s="35" t="str">
        <f t="shared" si="0"/>
        <v/>
      </c>
      <c r="L9" s="6">
        <f t="shared" si="2"/>
        <v>45944</v>
      </c>
      <c r="M9" s="7">
        <f t="shared" si="3"/>
        <v>0</v>
      </c>
      <c r="N9" s="7">
        <f t="shared" si="4"/>
        <v>19.5</v>
      </c>
      <c r="AC9" s="65">
        <v>45948</v>
      </c>
      <c r="AD9" s="61" t="s">
        <v>76</v>
      </c>
      <c r="AE9" s="61" t="s">
        <v>93</v>
      </c>
      <c r="AF9" s="62">
        <v>11.75</v>
      </c>
    </row>
    <row r="10" spans="1:32" x14ac:dyDescent="0.45">
      <c r="A10" s="8">
        <v>45955</v>
      </c>
      <c r="B10" t="s">
        <v>78</v>
      </c>
      <c r="C10" t="s">
        <v>16</v>
      </c>
      <c r="D10">
        <v>29.99</v>
      </c>
      <c r="E10" s="29" t="str">
        <f t="shared" si="1"/>
        <v/>
      </c>
      <c r="F10" s="34" t="str">
        <f t="shared" si="0"/>
        <v/>
      </c>
      <c r="L10" s="6">
        <f t="shared" si="2"/>
        <v>45948</v>
      </c>
      <c r="M10" s="7">
        <f t="shared" si="3"/>
        <v>0</v>
      </c>
      <c r="N10" s="7">
        <f t="shared" si="4"/>
        <v>11.75</v>
      </c>
      <c r="AC10" s="66">
        <v>45951</v>
      </c>
      <c r="AD10" s="63" t="s">
        <v>77</v>
      </c>
      <c r="AE10" s="63" t="s">
        <v>4</v>
      </c>
      <c r="AF10" s="64">
        <v>80</v>
      </c>
    </row>
    <row r="11" spans="1:32" x14ac:dyDescent="0.45">
      <c r="A11" s="8">
        <v>45958</v>
      </c>
      <c r="B11" t="s">
        <v>79</v>
      </c>
      <c r="C11" t="s">
        <v>17</v>
      </c>
      <c r="D11">
        <v>27.4</v>
      </c>
      <c r="E11" s="29" t="str">
        <f t="shared" si="1"/>
        <v/>
      </c>
      <c r="F11" s="35" t="str">
        <f t="shared" si="0"/>
        <v/>
      </c>
      <c r="L11" s="6">
        <f t="shared" si="2"/>
        <v>45951</v>
      </c>
      <c r="M11" s="7">
        <f t="shared" si="3"/>
        <v>80</v>
      </c>
      <c r="N11" s="7">
        <f t="shared" si="4"/>
        <v>0</v>
      </c>
      <c r="P11" t="s">
        <v>39</v>
      </c>
      <c r="Q11" t="s">
        <v>29</v>
      </c>
      <c r="R11" t="s">
        <v>24</v>
      </c>
      <c r="AC11" s="65">
        <v>45955</v>
      </c>
      <c r="AD11" s="61" t="s">
        <v>78</v>
      </c>
      <c r="AE11" s="61" t="s">
        <v>16</v>
      </c>
      <c r="AF11" s="62">
        <v>29.99</v>
      </c>
    </row>
    <row r="12" spans="1:32" x14ac:dyDescent="0.45">
      <c r="A12" s="8">
        <v>45962</v>
      </c>
      <c r="B12" t="s">
        <v>70</v>
      </c>
      <c r="C12" t="s">
        <v>93</v>
      </c>
      <c r="D12">
        <v>63.11</v>
      </c>
      <c r="E12" s="29" t="str">
        <f t="shared" si="1"/>
        <v>Groceries</v>
      </c>
      <c r="F12" s="34">
        <f t="shared" si="0"/>
        <v>63.11</v>
      </c>
      <c r="L12" s="6">
        <f t="shared" si="2"/>
        <v>45955</v>
      </c>
      <c r="M12" s="7">
        <f t="shared" si="3"/>
        <v>0</v>
      </c>
      <c r="N12" s="7">
        <f t="shared" si="4"/>
        <v>29.99</v>
      </c>
      <c r="P12" t="s">
        <v>40</v>
      </c>
      <c r="Q12">
        <f>V4</f>
        <v>560</v>
      </c>
      <c r="R12">
        <f>W4</f>
        <v>351.85999999999996</v>
      </c>
      <c r="AC12" s="66">
        <v>45958</v>
      </c>
      <c r="AD12" s="63" t="s">
        <v>79</v>
      </c>
      <c r="AE12" s="63" t="s">
        <v>17</v>
      </c>
      <c r="AF12" s="64">
        <v>27.4</v>
      </c>
    </row>
    <row r="13" spans="1:32" x14ac:dyDescent="0.45">
      <c r="A13" s="8">
        <v>45964</v>
      </c>
      <c r="B13" t="s">
        <v>71</v>
      </c>
      <c r="C13" t="s">
        <v>16</v>
      </c>
      <c r="D13">
        <v>42</v>
      </c>
      <c r="E13" s="29" t="str">
        <f t="shared" si="1"/>
        <v>Phone Bill</v>
      </c>
      <c r="F13" s="35">
        <f t="shared" si="0"/>
        <v>42</v>
      </c>
      <c r="L13" s="6">
        <f t="shared" si="2"/>
        <v>45958</v>
      </c>
      <c r="M13" s="7">
        <f t="shared" si="3"/>
        <v>0</v>
      </c>
      <c r="N13" s="7">
        <f t="shared" si="4"/>
        <v>27.4</v>
      </c>
      <c r="P13" t="s">
        <v>32</v>
      </c>
      <c r="Q13">
        <f>Y4</f>
        <v>600</v>
      </c>
      <c r="R13">
        <f>Z4</f>
        <v>283.28999999999996</v>
      </c>
      <c r="AC13" s="65">
        <v>45962</v>
      </c>
      <c r="AD13" s="61" t="s">
        <v>70</v>
      </c>
      <c r="AE13" s="61" t="s">
        <v>93</v>
      </c>
      <c r="AF13" s="62">
        <v>63.11</v>
      </c>
    </row>
    <row r="14" spans="1:32" x14ac:dyDescent="0.45">
      <c r="A14" s="8">
        <v>45966</v>
      </c>
      <c r="B14" t="s">
        <v>72</v>
      </c>
      <c r="C14" t="s">
        <v>4</v>
      </c>
      <c r="D14">
        <v>480</v>
      </c>
      <c r="E14" s="29" t="str">
        <f t="shared" si="1"/>
        <v>Part-Time Job</v>
      </c>
      <c r="F14" s="34">
        <f t="shared" si="0"/>
        <v>480</v>
      </c>
      <c r="I14" t="s">
        <v>94</v>
      </c>
      <c r="L14" s="6">
        <f t="shared" si="2"/>
        <v>45962</v>
      </c>
      <c r="M14" s="7">
        <f t="shared" si="3"/>
        <v>0</v>
      </c>
      <c r="N14" s="7">
        <f t="shared" si="4"/>
        <v>63.11</v>
      </c>
      <c r="P14" t="s">
        <v>39</v>
      </c>
      <c r="Q14" s="21">
        <f>(Q13-Q12)/Q13</f>
        <v>6.6666666666666666E-2</v>
      </c>
      <c r="R14" s="21">
        <f>(R13-R12)/R13</f>
        <v>-0.24204878393166016</v>
      </c>
      <c r="AC14" s="66">
        <v>45964</v>
      </c>
      <c r="AD14" s="63" t="s">
        <v>71</v>
      </c>
      <c r="AE14" s="63" t="s">
        <v>16</v>
      </c>
      <c r="AF14" s="64">
        <v>42</v>
      </c>
    </row>
    <row r="15" spans="1:32" x14ac:dyDescent="0.45">
      <c r="A15" s="8">
        <v>45971</v>
      </c>
      <c r="B15" t="s">
        <v>80</v>
      </c>
      <c r="C15" t="s">
        <v>16</v>
      </c>
      <c r="D15">
        <v>14.25</v>
      </c>
      <c r="E15" s="29" t="str">
        <f t="shared" si="1"/>
        <v>Uber Ride</v>
      </c>
      <c r="F15" s="35">
        <f t="shared" si="0"/>
        <v>14.25</v>
      </c>
      <c r="L15" s="6">
        <f t="shared" si="2"/>
        <v>45964</v>
      </c>
      <c r="M15" s="7">
        <f t="shared" si="3"/>
        <v>0</v>
      </c>
      <c r="N15" s="7">
        <f t="shared" si="4"/>
        <v>42</v>
      </c>
      <c r="AC15" s="65">
        <v>45966</v>
      </c>
      <c r="AD15" s="61" t="s">
        <v>72</v>
      </c>
      <c r="AE15" s="61" t="s">
        <v>4</v>
      </c>
      <c r="AF15" s="62">
        <v>480</v>
      </c>
    </row>
    <row r="16" spans="1:32" x14ac:dyDescent="0.45">
      <c r="A16" s="8">
        <v>45974</v>
      </c>
      <c r="B16" t="s">
        <v>81</v>
      </c>
      <c r="C16" t="s">
        <v>93</v>
      </c>
      <c r="D16">
        <v>79.989999999999995</v>
      </c>
      <c r="E16" s="29" t="str">
        <f t="shared" si="1"/>
        <v>Shoes</v>
      </c>
      <c r="F16" s="34">
        <f t="shared" si="0"/>
        <v>79.989999999999995</v>
      </c>
      <c r="L16" s="6">
        <f t="shared" si="2"/>
        <v>45966</v>
      </c>
      <c r="M16" s="7">
        <f t="shared" si="3"/>
        <v>480</v>
      </c>
      <c r="N16" s="7">
        <f t="shared" si="4"/>
        <v>0</v>
      </c>
      <c r="P16" t="s">
        <v>45</v>
      </c>
      <c r="AC16" s="66">
        <v>45971</v>
      </c>
      <c r="AD16" s="63" t="s">
        <v>80</v>
      </c>
      <c r="AE16" s="63" t="s">
        <v>16</v>
      </c>
      <c r="AF16" s="64">
        <v>14.25</v>
      </c>
    </row>
    <row r="17" spans="1:32" x14ac:dyDescent="0.45">
      <c r="A17" s="8">
        <v>45976</v>
      </c>
      <c r="B17" t="s">
        <v>82</v>
      </c>
      <c r="C17" t="s">
        <v>17</v>
      </c>
      <c r="D17">
        <v>10.99</v>
      </c>
      <c r="E17" s="29" t="str">
        <f t="shared" si="1"/>
        <v>Spotify</v>
      </c>
      <c r="F17" s="35">
        <f t="shared" si="0"/>
        <v>10.99</v>
      </c>
      <c r="L17" s="6">
        <f t="shared" si="2"/>
        <v>45971</v>
      </c>
      <c r="M17" s="7">
        <f t="shared" si="3"/>
        <v>0</v>
      </c>
      <c r="N17" s="7">
        <f t="shared" si="4"/>
        <v>14.25</v>
      </c>
      <c r="P17" t="s">
        <v>42</v>
      </c>
      <c r="Q17" t="s">
        <v>32</v>
      </c>
      <c r="AC17" s="65">
        <v>45974</v>
      </c>
      <c r="AD17" s="61" t="s">
        <v>81</v>
      </c>
      <c r="AE17" s="61" t="s">
        <v>93</v>
      </c>
      <c r="AF17" s="62">
        <v>79.989999999999995</v>
      </c>
    </row>
    <row r="18" spans="1:32" x14ac:dyDescent="0.45">
      <c r="A18" s="8">
        <v>45980</v>
      </c>
      <c r="B18" t="s">
        <v>76</v>
      </c>
      <c r="C18" t="s">
        <v>93</v>
      </c>
      <c r="D18">
        <v>9.85</v>
      </c>
      <c r="E18" s="29" t="str">
        <f t="shared" si="1"/>
        <v>Snacks</v>
      </c>
      <c r="F18" s="34">
        <f t="shared" si="0"/>
        <v>9.85</v>
      </c>
      <c r="L18" s="6">
        <f t="shared" si="2"/>
        <v>45974</v>
      </c>
      <c r="M18" s="7">
        <f t="shared" si="3"/>
        <v>0</v>
      </c>
      <c r="N18" s="7">
        <f t="shared" si="4"/>
        <v>79.989999999999995</v>
      </c>
      <c r="P18" t="s">
        <v>33</v>
      </c>
      <c r="Q18" s="9">
        <f>Z2</f>
        <v>45962</v>
      </c>
      <c r="AC18" s="66">
        <v>45976</v>
      </c>
      <c r="AD18" s="63" t="s">
        <v>82</v>
      </c>
      <c r="AE18" s="63" t="s">
        <v>17</v>
      </c>
      <c r="AF18" s="64">
        <v>10.99</v>
      </c>
    </row>
    <row r="19" spans="1:32" x14ac:dyDescent="0.45">
      <c r="A19" s="8">
        <v>45984</v>
      </c>
      <c r="B19" t="s">
        <v>83</v>
      </c>
      <c r="C19" t="s">
        <v>4</v>
      </c>
      <c r="D19">
        <v>120</v>
      </c>
      <c r="E19" s="29" t="str">
        <f t="shared" si="1"/>
        <v>Small Freelance</v>
      </c>
      <c r="F19" s="35">
        <f t="shared" si="0"/>
        <v>120</v>
      </c>
      <c r="L19" s="6">
        <f t="shared" ref="L19:L24" si="5">A17</f>
        <v>45976</v>
      </c>
      <c r="M19" s="7">
        <f t="shared" ref="M19:M46" si="6">IF(C17="income", D17, 0)</f>
        <v>0</v>
      </c>
      <c r="N19" s="7">
        <f t="shared" ref="N19:N46" si="7">IF(C17&lt;&gt;"income", D17, 0)</f>
        <v>10.99</v>
      </c>
      <c r="P19" t="s">
        <v>43</v>
      </c>
      <c r="Q19" t="s">
        <v>44</v>
      </c>
      <c r="AC19" s="65">
        <v>45980</v>
      </c>
      <c r="AD19" s="61" t="s">
        <v>76</v>
      </c>
      <c r="AE19" s="61" t="s">
        <v>93</v>
      </c>
      <c r="AF19" s="62">
        <v>9.85</v>
      </c>
    </row>
    <row r="20" spans="1:32" x14ac:dyDescent="0.45">
      <c r="A20" s="8">
        <v>45988</v>
      </c>
      <c r="B20" t="s">
        <v>84</v>
      </c>
      <c r="C20" t="s">
        <v>16</v>
      </c>
      <c r="D20">
        <v>8.1</v>
      </c>
      <c r="E20" s="29" t="str">
        <f t="shared" si="1"/>
        <v>Coffee Out</v>
      </c>
      <c r="F20" s="34">
        <f t="shared" si="0"/>
        <v>8.1</v>
      </c>
      <c r="L20" s="6">
        <f t="shared" si="5"/>
        <v>45980</v>
      </c>
      <c r="M20" s="7">
        <f t="shared" si="6"/>
        <v>0</v>
      </c>
      <c r="N20" s="7">
        <f t="shared" si="7"/>
        <v>9.85</v>
      </c>
      <c r="AC20" s="66">
        <v>45984</v>
      </c>
      <c r="AD20" s="63" t="s">
        <v>83</v>
      </c>
      <c r="AE20" s="63" t="s">
        <v>4</v>
      </c>
      <c r="AF20" s="64">
        <v>120</v>
      </c>
    </row>
    <row r="21" spans="1:32" x14ac:dyDescent="0.45">
      <c r="A21" s="8">
        <v>45991</v>
      </c>
      <c r="B21" t="s">
        <v>85</v>
      </c>
      <c r="C21" t="s">
        <v>17</v>
      </c>
      <c r="D21">
        <v>55</v>
      </c>
      <c r="E21" s="29" t="str">
        <f t="shared" si="1"/>
        <v>Internet Bill</v>
      </c>
      <c r="F21" s="35">
        <f t="shared" si="0"/>
        <v>55</v>
      </c>
      <c r="L21" s="6">
        <f t="shared" si="5"/>
        <v>45984</v>
      </c>
      <c r="M21" s="7">
        <f t="shared" si="6"/>
        <v>120</v>
      </c>
      <c r="N21" s="7">
        <f t="shared" si="7"/>
        <v>0</v>
      </c>
      <c r="AC21" s="65">
        <v>45988</v>
      </c>
      <c r="AD21" s="61" t="s">
        <v>84</v>
      </c>
      <c r="AE21" s="61" t="s">
        <v>16</v>
      </c>
      <c r="AF21" s="62">
        <v>8.1</v>
      </c>
    </row>
    <row r="22" spans="1:32" x14ac:dyDescent="0.45">
      <c r="A22" s="8">
        <v>45993</v>
      </c>
      <c r="B22" t="s">
        <v>70</v>
      </c>
      <c r="C22" t="s">
        <v>93</v>
      </c>
      <c r="D22">
        <v>71.5</v>
      </c>
      <c r="E22" s="29" t="str">
        <f t="shared" si="1"/>
        <v/>
      </c>
      <c r="F22" s="34" t="str">
        <f t="shared" si="0"/>
        <v/>
      </c>
      <c r="L22" s="6">
        <f t="shared" si="5"/>
        <v>45988</v>
      </c>
      <c r="M22" s="7">
        <f t="shared" si="6"/>
        <v>0</v>
      </c>
      <c r="N22" s="7">
        <f t="shared" si="7"/>
        <v>8.1</v>
      </c>
      <c r="P22" t="s">
        <v>46</v>
      </c>
      <c r="AC22" s="66">
        <v>45991</v>
      </c>
      <c r="AD22" s="63" t="s">
        <v>85</v>
      </c>
      <c r="AE22" s="63" t="s">
        <v>17</v>
      </c>
      <c r="AF22" s="64">
        <v>55</v>
      </c>
    </row>
    <row r="23" spans="1:32" x14ac:dyDescent="0.45">
      <c r="A23" s="8">
        <v>45995</v>
      </c>
      <c r="B23" t="s">
        <v>71</v>
      </c>
      <c r="C23" t="s">
        <v>16</v>
      </c>
      <c r="D23">
        <v>42</v>
      </c>
      <c r="E23" s="29" t="str">
        <f t="shared" si="1"/>
        <v/>
      </c>
      <c r="F23" s="35" t="str">
        <f t="shared" si="0"/>
        <v/>
      </c>
      <c r="L23" s="6">
        <f t="shared" si="5"/>
        <v>45991</v>
      </c>
      <c r="M23" s="7">
        <f t="shared" si="6"/>
        <v>0</v>
      </c>
      <c r="N23" s="7">
        <f t="shared" si="7"/>
        <v>55</v>
      </c>
      <c r="P23" s="41" t="s">
        <v>47</v>
      </c>
      <c r="Q23" t="s">
        <v>52</v>
      </c>
      <c r="AC23" s="65">
        <v>45993</v>
      </c>
      <c r="AD23" s="61" t="s">
        <v>70</v>
      </c>
      <c r="AE23" s="61" t="s">
        <v>93</v>
      </c>
      <c r="AF23" s="62">
        <v>71.5</v>
      </c>
    </row>
    <row r="24" spans="1:32" x14ac:dyDescent="0.45">
      <c r="A24" s="8">
        <v>45997</v>
      </c>
      <c r="B24" t="s">
        <v>72</v>
      </c>
      <c r="C24" t="s">
        <v>4</v>
      </c>
      <c r="D24">
        <v>480</v>
      </c>
      <c r="E24" s="29" t="str">
        <f t="shared" si="1"/>
        <v/>
      </c>
      <c r="F24" s="34" t="str">
        <f t="shared" si="0"/>
        <v/>
      </c>
      <c r="L24" s="6">
        <f t="shared" si="5"/>
        <v>45993</v>
      </c>
      <c r="M24" s="7">
        <f t="shared" si="6"/>
        <v>0</v>
      </c>
      <c r="N24" s="7">
        <f t="shared" si="7"/>
        <v>71.5</v>
      </c>
      <c r="P24" s="42"/>
      <c r="Q24">
        <v>0</v>
      </c>
      <c r="AC24" s="66">
        <v>45995</v>
      </c>
      <c r="AD24" s="63" t="s">
        <v>71</v>
      </c>
      <c r="AE24" s="63" t="s">
        <v>16</v>
      </c>
      <c r="AF24" s="64">
        <v>42</v>
      </c>
    </row>
    <row r="25" spans="1:32" x14ac:dyDescent="0.45">
      <c r="A25" s="8">
        <v>46000</v>
      </c>
      <c r="B25" t="s">
        <v>86</v>
      </c>
      <c r="C25" t="s">
        <v>16</v>
      </c>
      <c r="D25">
        <v>54.7</v>
      </c>
      <c r="E25" s="29" t="str">
        <f t="shared" si="1"/>
        <v/>
      </c>
      <c r="F25" s="35" t="str">
        <f t="shared" si="0"/>
        <v/>
      </c>
      <c r="L25" s="6">
        <f>M7</f>
        <v>0</v>
      </c>
      <c r="M25" s="7">
        <f t="shared" si="6"/>
        <v>0</v>
      </c>
      <c r="N25" s="7">
        <f t="shared" si="7"/>
        <v>42</v>
      </c>
      <c r="P25" s="42" t="s">
        <v>20</v>
      </c>
      <c r="Q25">
        <v>340</v>
      </c>
      <c r="AC25" s="65">
        <v>45997</v>
      </c>
      <c r="AD25" s="61" t="s">
        <v>72</v>
      </c>
      <c r="AE25" s="61" t="s">
        <v>4</v>
      </c>
      <c r="AF25" s="62">
        <v>480</v>
      </c>
    </row>
    <row r="26" spans="1:32" x14ac:dyDescent="0.45">
      <c r="A26" s="8">
        <v>46003</v>
      </c>
      <c r="B26" t="s">
        <v>87</v>
      </c>
      <c r="C26" t="s">
        <v>93</v>
      </c>
      <c r="D26">
        <v>45</v>
      </c>
      <c r="E26" s="29" t="str">
        <f t="shared" si="1"/>
        <v/>
      </c>
      <c r="F26" s="34" t="str">
        <f t="shared" si="0"/>
        <v/>
      </c>
      <c r="L26" s="6">
        <f t="shared" ref="L26:L46" si="8">A24</f>
        <v>45997</v>
      </c>
      <c r="M26" s="7">
        <f t="shared" si="6"/>
        <v>480</v>
      </c>
      <c r="N26" s="7">
        <f t="shared" si="7"/>
        <v>0</v>
      </c>
      <c r="P26" s="42" t="s">
        <v>18</v>
      </c>
      <c r="Q26">
        <v>1500</v>
      </c>
      <c r="AC26" s="66">
        <v>46000</v>
      </c>
      <c r="AD26" s="63" t="s">
        <v>86</v>
      </c>
      <c r="AE26" s="63" t="s">
        <v>16</v>
      </c>
      <c r="AF26" s="64">
        <v>54.7</v>
      </c>
    </row>
    <row r="27" spans="1:32" x14ac:dyDescent="0.45">
      <c r="A27" s="8">
        <v>46007</v>
      </c>
      <c r="B27" t="s">
        <v>76</v>
      </c>
      <c r="C27" t="s">
        <v>17</v>
      </c>
      <c r="D27">
        <v>12.4</v>
      </c>
      <c r="E27" s="29" t="str">
        <f t="shared" si="1"/>
        <v/>
      </c>
      <c r="F27" s="35" t="str">
        <f t="shared" si="0"/>
        <v/>
      </c>
      <c r="L27" s="6">
        <f t="shared" si="8"/>
        <v>46000</v>
      </c>
      <c r="M27" s="7">
        <f t="shared" si="6"/>
        <v>0</v>
      </c>
      <c r="N27" s="7">
        <f t="shared" si="7"/>
        <v>54.7</v>
      </c>
      <c r="P27" s="42" t="s">
        <v>19</v>
      </c>
      <c r="Q27">
        <v>1200</v>
      </c>
      <c r="AC27" s="65">
        <v>46003</v>
      </c>
      <c r="AD27" s="61" t="s">
        <v>87</v>
      </c>
      <c r="AE27" s="61" t="s">
        <v>93</v>
      </c>
      <c r="AF27" s="62">
        <v>45</v>
      </c>
    </row>
    <row r="28" spans="1:32" x14ac:dyDescent="0.45">
      <c r="A28" s="8">
        <v>46009</v>
      </c>
      <c r="B28" t="s">
        <v>88</v>
      </c>
      <c r="C28" t="s">
        <v>93</v>
      </c>
      <c r="D28">
        <v>150</v>
      </c>
      <c r="E28" s="29" t="str">
        <f t="shared" si="1"/>
        <v/>
      </c>
      <c r="F28" s="34" t="str">
        <f t="shared" si="0"/>
        <v/>
      </c>
      <c r="L28" s="6">
        <f t="shared" si="8"/>
        <v>46003</v>
      </c>
      <c r="M28" s="7">
        <f t="shared" si="6"/>
        <v>0</v>
      </c>
      <c r="N28" s="7">
        <f t="shared" si="7"/>
        <v>45</v>
      </c>
      <c r="P28" s="42" t="s">
        <v>48</v>
      </c>
      <c r="Q28">
        <v>0</v>
      </c>
      <c r="AC28" s="66">
        <v>46007</v>
      </c>
      <c r="AD28" s="63" t="s">
        <v>76</v>
      </c>
      <c r="AE28" s="63" t="s">
        <v>17</v>
      </c>
      <c r="AF28" s="64">
        <v>12.4</v>
      </c>
    </row>
    <row r="29" spans="1:32" x14ac:dyDescent="0.45">
      <c r="A29" s="8">
        <v>46012</v>
      </c>
      <c r="B29" t="s">
        <v>89</v>
      </c>
      <c r="C29" t="s">
        <v>4</v>
      </c>
      <c r="D29">
        <v>16.489999999999998</v>
      </c>
      <c r="E29" s="29" t="str">
        <f t="shared" si="1"/>
        <v/>
      </c>
      <c r="F29" s="35" t="str">
        <f t="shared" si="0"/>
        <v/>
      </c>
      <c r="L29" s="6">
        <f t="shared" si="8"/>
        <v>46007</v>
      </c>
      <c r="M29" s="7">
        <f t="shared" si="6"/>
        <v>0</v>
      </c>
      <c r="N29" s="7">
        <f t="shared" si="7"/>
        <v>12.4</v>
      </c>
      <c r="P29" s="42" t="s">
        <v>49</v>
      </c>
      <c r="Q29">
        <v>3040</v>
      </c>
      <c r="AC29" s="65">
        <v>46009</v>
      </c>
      <c r="AD29" s="61" t="s">
        <v>88</v>
      </c>
      <c r="AE29" s="61" t="s">
        <v>93</v>
      </c>
      <c r="AF29" s="62">
        <v>150</v>
      </c>
    </row>
    <row r="30" spans="1:32" x14ac:dyDescent="0.45">
      <c r="A30" s="8">
        <v>46018</v>
      </c>
      <c r="B30" t="s">
        <v>90</v>
      </c>
      <c r="C30" t="s">
        <v>16</v>
      </c>
      <c r="D30">
        <v>33.200000000000003</v>
      </c>
      <c r="E30" s="29" t="str">
        <f t="shared" si="1"/>
        <v/>
      </c>
      <c r="F30" s="34" t="str">
        <f t="shared" si="0"/>
        <v/>
      </c>
      <c r="L30" s="6">
        <f t="shared" si="8"/>
        <v>46009</v>
      </c>
      <c r="M30" s="7">
        <f t="shared" si="6"/>
        <v>0</v>
      </c>
      <c r="N30" s="7">
        <f t="shared" si="7"/>
        <v>150</v>
      </c>
      <c r="AC30" s="66">
        <v>46012</v>
      </c>
      <c r="AD30" s="63" t="s">
        <v>89</v>
      </c>
      <c r="AE30" s="63" t="s">
        <v>4</v>
      </c>
      <c r="AF30" s="64">
        <v>16.489999999999998</v>
      </c>
    </row>
    <row r="31" spans="1:32" x14ac:dyDescent="0.45">
      <c r="A31" s="8">
        <v>46021</v>
      </c>
      <c r="B31" t="s">
        <v>70</v>
      </c>
      <c r="C31" t="s">
        <v>17</v>
      </c>
      <c r="D31">
        <v>58.98</v>
      </c>
      <c r="E31" s="29" t="str">
        <f t="shared" si="1"/>
        <v/>
      </c>
      <c r="F31" s="35" t="str">
        <f t="shared" si="0"/>
        <v/>
      </c>
      <c r="L31" s="6">
        <f t="shared" si="8"/>
        <v>46012</v>
      </c>
      <c r="M31" s="7">
        <f t="shared" si="6"/>
        <v>16.489999999999998</v>
      </c>
      <c r="N31" s="7">
        <f t="shared" si="7"/>
        <v>0</v>
      </c>
      <c r="AC31" s="65">
        <v>46018</v>
      </c>
      <c r="AD31" s="61" t="s">
        <v>90</v>
      </c>
      <c r="AE31" s="61" t="s">
        <v>16</v>
      </c>
      <c r="AF31" s="62">
        <v>33.200000000000003</v>
      </c>
    </row>
    <row r="32" spans="1:32" x14ac:dyDescent="0.45">
      <c r="A32" s="8">
        <v>46024</v>
      </c>
      <c r="B32" t="s">
        <v>70</v>
      </c>
      <c r="C32" t="s">
        <v>93</v>
      </c>
      <c r="D32">
        <v>65.22</v>
      </c>
      <c r="E32" s="29" t="str">
        <f t="shared" si="1"/>
        <v/>
      </c>
      <c r="F32" s="34" t="str">
        <f t="shared" si="0"/>
        <v/>
      </c>
      <c r="L32" s="6">
        <f t="shared" si="8"/>
        <v>46018</v>
      </c>
      <c r="M32" s="7">
        <f t="shared" si="6"/>
        <v>0</v>
      </c>
      <c r="N32" s="7">
        <f t="shared" si="7"/>
        <v>33.200000000000003</v>
      </c>
      <c r="AC32" s="66">
        <v>46021</v>
      </c>
      <c r="AD32" s="63" t="s">
        <v>70</v>
      </c>
      <c r="AE32" s="63" t="s">
        <v>17</v>
      </c>
      <c r="AF32" s="64">
        <v>58.98</v>
      </c>
    </row>
    <row r="33" spans="1:32" x14ac:dyDescent="0.45">
      <c r="A33" s="8">
        <v>46026</v>
      </c>
      <c r="B33" t="s">
        <v>71</v>
      </c>
      <c r="C33" t="s">
        <v>16</v>
      </c>
      <c r="D33">
        <v>42</v>
      </c>
      <c r="E33" s="29" t="str">
        <f t="shared" si="1"/>
        <v/>
      </c>
      <c r="F33" s="35" t="str">
        <f t="shared" si="0"/>
        <v/>
      </c>
      <c r="L33" s="6">
        <f t="shared" si="8"/>
        <v>46021</v>
      </c>
      <c r="M33" s="7">
        <f t="shared" si="6"/>
        <v>0</v>
      </c>
      <c r="N33" s="7">
        <f t="shared" si="7"/>
        <v>58.98</v>
      </c>
      <c r="AC33" s="65">
        <v>46024</v>
      </c>
      <c r="AD33" s="61" t="s">
        <v>70</v>
      </c>
      <c r="AE33" s="61" t="s">
        <v>93</v>
      </c>
      <c r="AF33" s="62">
        <v>65.22</v>
      </c>
    </row>
    <row r="34" spans="1:32" x14ac:dyDescent="0.45">
      <c r="A34" s="8">
        <v>46028</v>
      </c>
      <c r="B34" t="s">
        <v>72</v>
      </c>
      <c r="C34" t="s">
        <v>4</v>
      </c>
      <c r="D34">
        <v>480</v>
      </c>
      <c r="E34" s="29" t="str">
        <f t="shared" si="1"/>
        <v/>
      </c>
      <c r="F34" s="34" t="str">
        <f t="shared" si="0"/>
        <v/>
      </c>
      <c r="L34" s="6">
        <f t="shared" si="8"/>
        <v>46024</v>
      </c>
      <c r="M34" s="7">
        <f t="shared" si="6"/>
        <v>0</v>
      </c>
      <c r="N34" s="7">
        <f t="shared" si="7"/>
        <v>65.22</v>
      </c>
      <c r="AC34" s="66">
        <v>46026</v>
      </c>
      <c r="AD34" s="63" t="s">
        <v>71</v>
      </c>
      <c r="AE34" s="63" t="s">
        <v>16</v>
      </c>
      <c r="AF34" s="64">
        <v>42</v>
      </c>
    </row>
    <row r="35" spans="1:32" x14ac:dyDescent="0.45">
      <c r="A35" s="8">
        <v>46032</v>
      </c>
      <c r="B35" t="s">
        <v>73</v>
      </c>
      <c r="C35" t="s">
        <v>16</v>
      </c>
      <c r="D35">
        <v>128</v>
      </c>
      <c r="E35" s="29" t="str">
        <f t="shared" si="1"/>
        <v/>
      </c>
      <c r="F35" s="35" t="str">
        <f t="shared" si="0"/>
        <v/>
      </c>
      <c r="L35" s="6">
        <f t="shared" si="8"/>
        <v>46026</v>
      </c>
      <c r="M35" s="7">
        <f t="shared" si="6"/>
        <v>0</v>
      </c>
      <c r="N35" s="7">
        <f t="shared" si="7"/>
        <v>42</v>
      </c>
      <c r="AC35" s="65">
        <v>46028</v>
      </c>
      <c r="AD35" s="61" t="s">
        <v>72</v>
      </c>
      <c r="AE35" s="61" t="s">
        <v>4</v>
      </c>
      <c r="AF35" s="62">
        <v>480</v>
      </c>
    </row>
    <row r="36" spans="1:32" x14ac:dyDescent="0.45">
      <c r="A36" s="8">
        <v>46035</v>
      </c>
      <c r="B36" t="s">
        <v>74</v>
      </c>
      <c r="C36" t="s">
        <v>93</v>
      </c>
      <c r="D36">
        <v>39.950000000000003</v>
      </c>
      <c r="E36" s="29" t="str">
        <f t="shared" si="1"/>
        <v/>
      </c>
      <c r="F36" s="34" t="str">
        <f t="shared" si="0"/>
        <v/>
      </c>
      <c r="L36" s="6">
        <f t="shared" si="8"/>
        <v>46028</v>
      </c>
      <c r="M36" s="7">
        <f t="shared" si="6"/>
        <v>480</v>
      </c>
      <c r="N36" s="7">
        <f t="shared" si="7"/>
        <v>0</v>
      </c>
      <c r="AC36" s="66">
        <v>46032</v>
      </c>
      <c r="AD36" s="63" t="s">
        <v>73</v>
      </c>
      <c r="AE36" s="63" t="s">
        <v>16</v>
      </c>
      <c r="AF36" s="64">
        <v>128</v>
      </c>
    </row>
    <row r="37" spans="1:32" x14ac:dyDescent="0.45">
      <c r="A37" s="8">
        <v>46039</v>
      </c>
      <c r="B37" t="s">
        <v>91</v>
      </c>
      <c r="C37" t="s">
        <v>17</v>
      </c>
      <c r="D37">
        <v>12</v>
      </c>
      <c r="E37" s="29" t="str">
        <f t="shared" si="1"/>
        <v/>
      </c>
      <c r="F37" s="35" t="str">
        <f t="shared" si="0"/>
        <v/>
      </c>
      <c r="L37" s="6">
        <f t="shared" si="8"/>
        <v>46032</v>
      </c>
      <c r="M37" s="7">
        <f t="shared" si="6"/>
        <v>0</v>
      </c>
      <c r="N37" s="7">
        <f t="shared" si="7"/>
        <v>128</v>
      </c>
      <c r="AC37" s="65">
        <v>46035</v>
      </c>
      <c r="AD37" s="61" t="s">
        <v>74</v>
      </c>
      <c r="AE37" s="61" t="s">
        <v>93</v>
      </c>
      <c r="AF37" s="62">
        <v>39.950000000000003</v>
      </c>
    </row>
    <row r="38" spans="1:32" x14ac:dyDescent="0.45">
      <c r="A38" s="8">
        <v>46042</v>
      </c>
      <c r="B38" t="s">
        <v>76</v>
      </c>
      <c r="C38" t="s">
        <v>93</v>
      </c>
      <c r="D38">
        <v>10.6</v>
      </c>
      <c r="E38" s="29" t="str">
        <f t="shared" si="1"/>
        <v/>
      </c>
      <c r="F38" s="34" t="str">
        <f t="shared" si="0"/>
        <v/>
      </c>
      <c r="L38" s="6">
        <f t="shared" si="8"/>
        <v>46035</v>
      </c>
      <c r="M38" s="7">
        <f t="shared" si="6"/>
        <v>0</v>
      </c>
      <c r="N38" s="7">
        <f t="shared" si="7"/>
        <v>39.950000000000003</v>
      </c>
      <c r="AC38" s="66">
        <v>46039</v>
      </c>
      <c r="AD38" s="63" t="s">
        <v>91</v>
      </c>
      <c r="AE38" s="63" t="s">
        <v>17</v>
      </c>
      <c r="AF38" s="64">
        <v>12</v>
      </c>
    </row>
    <row r="39" spans="1:32" x14ac:dyDescent="0.45">
      <c r="A39" s="8">
        <v>46045</v>
      </c>
      <c r="B39" t="s">
        <v>92</v>
      </c>
      <c r="C39" t="s">
        <v>4</v>
      </c>
      <c r="D39">
        <v>95</v>
      </c>
      <c r="E39" s="29" t="str">
        <f t="shared" si="1"/>
        <v/>
      </c>
      <c r="F39" s="35" t="str">
        <f t="shared" si="0"/>
        <v/>
      </c>
      <c r="L39" s="6">
        <f t="shared" si="8"/>
        <v>46039</v>
      </c>
      <c r="M39" s="7">
        <f t="shared" si="6"/>
        <v>0</v>
      </c>
      <c r="N39" s="7">
        <f t="shared" si="7"/>
        <v>12</v>
      </c>
      <c r="AC39" s="65">
        <v>46042</v>
      </c>
      <c r="AD39" s="61" t="s">
        <v>76</v>
      </c>
      <c r="AE39" s="61" t="s">
        <v>93</v>
      </c>
      <c r="AF39" s="62">
        <v>10.6</v>
      </c>
    </row>
    <row r="40" spans="1:32" x14ac:dyDescent="0.45">
      <c r="A40" s="8">
        <v>46049</v>
      </c>
      <c r="B40" t="s">
        <v>78</v>
      </c>
      <c r="C40" t="s">
        <v>16</v>
      </c>
      <c r="D40">
        <v>29.99</v>
      </c>
      <c r="E40" s="29" t="str">
        <f t="shared" si="1"/>
        <v/>
      </c>
      <c r="F40" s="34" t="str">
        <f t="shared" si="0"/>
        <v/>
      </c>
      <c r="L40" s="6">
        <f t="shared" si="8"/>
        <v>46042</v>
      </c>
      <c r="M40" s="7">
        <f t="shared" si="6"/>
        <v>0</v>
      </c>
      <c r="N40" s="7">
        <f t="shared" si="7"/>
        <v>10.6</v>
      </c>
      <c r="AC40" s="66">
        <v>46045</v>
      </c>
      <c r="AD40" s="63" t="s">
        <v>92</v>
      </c>
      <c r="AE40" s="63" t="s">
        <v>4</v>
      </c>
      <c r="AF40" s="64">
        <v>95</v>
      </c>
    </row>
    <row r="41" spans="1:32" x14ac:dyDescent="0.45">
      <c r="A41" s="8">
        <v>46052</v>
      </c>
      <c r="B41" t="s">
        <v>75</v>
      </c>
      <c r="C41" t="s">
        <v>17</v>
      </c>
      <c r="D41">
        <v>18</v>
      </c>
      <c r="E41" s="29" t="str">
        <f t="shared" si="1"/>
        <v/>
      </c>
      <c r="F41" s="35" t="str">
        <f t="shared" si="0"/>
        <v/>
      </c>
      <c r="L41" s="6">
        <f t="shared" si="8"/>
        <v>46045</v>
      </c>
      <c r="M41" s="7">
        <f t="shared" si="6"/>
        <v>95</v>
      </c>
      <c r="N41" s="7">
        <f t="shared" si="7"/>
        <v>0</v>
      </c>
      <c r="AC41" s="65">
        <v>46049</v>
      </c>
      <c r="AD41" s="61" t="s">
        <v>78</v>
      </c>
      <c r="AE41" s="61" t="s">
        <v>16</v>
      </c>
      <c r="AF41" s="62">
        <v>29.99</v>
      </c>
    </row>
    <row r="42" spans="1:32" x14ac:dyDescent="0.45">
      <c r="A42" s="36"/>
      <c r="B42" s="3"/>
      <c r="C42" s="3"/>
      <c r="D42" s="3"/>
      <c r="E42" s="29" t="str">
        <f t="shared" si="1"/>
        <v/>
      </c>
      <c r="F42" s="34" t="str">
        <f t="shared" si="0"/>
        <v/>
      </c>
      <c r="L42" s="6">
        <f t="shared" si="8"/>
        <v>46049</v>
      </c>
      <c r="M42" s="7">
        <f t="shared" si="6"/>
        <v>0</v>
      </c>
      <c r="N42" s="7">
        <f t="shared" si="7"/>
        <v>29.99</v>
      </c>
      <c r="AC42" s="66">
        <v>46052</v>
      </c>
      <c r="AD42" s="63" t="s">
        <v>75</v>
      </c>
      <c r="AE42" s="63" t="s">
        <v>17</v>
      </c>
      <c r="AF42" s="64">
        <v>18</v>
      </c>
    </row>
    <row r="43" spans="1:32" x14ac:dyDescent="0.45">
      <c r="A43" s="37"/>
      <c r="B43" s="30"/>
      <c r="C43" s="30"/>
      <c r="D43" s="30"/>
      <c r="E43" s="29" t="str">
        <f t="shared" si="1"/>
        <v/>
      </c>
      <c r="F43" s="35" t="str">
        <f t="shared" si="0"/>
        <v/>
      </c>
      <c r="L43" s="6">
        <f t="shared" si="8"/>
        <v>46052</v>
      </c>
      <c r="M43" s="7">
        <f t="shared" si="6"/>
        <v>0</v>
      </c>
      <c r="N43" s="7">
        <f t="shared" si="7"/>
        <v>18</v>
      </c>
    </row>
    <row r="44" spans="1:32" x14ac:dyDescent="0.45">
      <c r="A44" s="36"/>
      <c r="B44" s="3"/>
      <c r="C44" s="3"/>
      <c r="D44" s="3"/>
      <c r="E44" s="3"/>
      <c r="F44" s="31" t="str">
        <f t="shared" si="0"/>
        <v/>
      </c>
      <c r="L44" s="6">
        <f t="shared" si="8"/>
        <v>0</v>
      </c>
      <c r="M44" s="7">
        <f t="shared" si="6"/>
        <v>0</v>
      </c>
      <c r="N44" s="7">
        <f t="shared" si="7"/>
        <v>0</v>
      </c>
    </row>
    <row r="45" spans="1:32" x14ac:dyDescent="0.45">
      <c r="A45" s="38"/>
      <c r="B45" s="39"/>
      <c r="C45" s="39"/>
      <c r="D45" s="39"/>
      <c r="E45" s="39"/>
      <c r="F45" s="40" t="str">
        <f t="shared" si="0"/>
        <v/>
      </c>
      <c r="L45" s="6">
        <f t="shared" si="8"/>
        <v>0</v>
      </c>
      <c r="M45" s="7">
        <f t="shared" si="6"/>
        <v>0</v>
      </c>
      <c r="N45" s="7">
        <f t="shared" si="7"/>
        <v>0</v>
      </c>
    </row>
    <row r="46" spans="1:32" x14ac:dyDescent="0.45">
      <c r="L46" s="6">
        <f t="shared" si="8"/>
        <v>0</v>
      </c>
      <c r="M46" s="7">
        <f t="shared" si="6"/>
        <v>0</v>
      </c>
      <c r="N46" s="7">
        <f t="shared" si="7"/>
        <v>0</v>
      </c>
    </row>
  </sheetData>
  <mergeCells count="1">
    <mergeCell ref="I5:J5"/>
  </mergeCells>
  <phoneticPr fontId="12" type="noConversion"/>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learExpensesIncomes">
                <anchor moveWithCells="1" sizeWithCells="1">
                  <from>
                    <xdr:col>8</xdr:col>
                    <xdr:colOff>104775</xdr:colOff>
                    <xdr:row>9</xdr:row>
                    <xdr:rowOff>171450</xdr:rowOff>
                  </from>
                  <to>
                    <xdr:col>10</xdr:col>
                    <xdr:colOff>271463</xdr:colOff>
                    <xdr:row>11</xdr:row>
                    <xdr:rowOff>171450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8</xdr:col>
                    <xdr:colOff>47625</xdr:colOff>
                    <xdr:row>5</xdr:row>
                    <xdr:rowOff>166688</xdr:rowOff>
                  </from>
                  <to>
                    <xdr:col>10</xdr:col>
                    <xdr:colOff>195263</xdr:colOff>
                    <xdr:row>7</xdr:row>
                    <xdr:rowOff>157163</xdr:rowOff>
                  </to>
                </anchor>
              </controlPr>
            </control>
          </mc:Choice>
        </mc:AlternateContent>
      </controls>
    </mc:Choice>
  </mc:AlternateContent>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W26"/>
  <sheetViews>
    <sheetView workbookViewId="0">
      <selection activeCell="E3" sqref="E3"/>
    </sheetView>
  </sheetViews>
  <sheetFormatPr defaultColWidth="8.86328125" defaultRowHeight="14.25" x14ac:dyDescent="0.45"/>
  <cols>
    <col min="1" max="1" width="10.53125" customWidth="1"/>
    <col min="2" max="2" width="23.265625" customWidth="1"/>
    <col min="3" max="3" width="26.3984375" customWidth="1"/>
    <col min="4" max="4" width="28.86328125" customWidth="1"/>
    <col min="5" max="5" width="16.265625" customWidth="1"/>
    <col min="19" max="19" width="15.33203125" customWidth="1"/>
  </cols>
  <sheetData>
    <row r="1" spans="1:23" x14ac:dyDescent="0.45">
      <c r="A1" s="1" t="s">
        <v>0</v>
      </c>
      <c r="B1" s="1" t="s">
        <v>2</v>
      </c>
      <c r="C1" s="1" t="s">
        <v>8</v>
      </c>
      <c r="D1" s="1" t="s">
        <v>9</v>
      </c>
      <c r="E1" s="1" t="s">
        <v>10</v>
      </c>
      <c r="K1" t="s">
        <v>55</v>
      </c>
      <c r="L1" s="9">
        <f>'Expenses&amp;Incomes'!Q18</f>
        <v>45962</v>
      </c>
      <c r="M1" t="s">
        <v>54</v>
      </c>
      <c r="N1" t="s">
        <v>53</v>
      </c>
    </row>
    <row r="2" spans="1:23" x14ac:dyDescent="0.45">
      <c r="A2" s="8">
        <v>46023</v>
      </c>
      <c r="B2" t="s">
        <v>35</v>
      </c>
      <c r="C2" s="43"/>
      <c r="D2">
        <v>500</v>
      </c>
      <c r="E2">
        <v>300</v>
      </c>
    </row>
    <row r="3" spans="1:23" x14ac:dyDescent="0.45">
      <c r="A3" s="8">
        <v>46027</v>
      </c>
      <c r="B3" t="s">
        <v>56</v>
      </c>
      <c r="C3" s="43"/>
      <c r="D3">
        <v>600</v>
      </c>
      <c r="E3">
        <v>250</v>
      </c>
    </row>
    <row r="4" spans="1:23" x14ac:dyDescent="0.45">
      <c r="A4" s="8"/>
      <c r="C4" s="43"/>
    </row>
    <row r="5" spans="1:23" x14ac:dyDescent="0.45">
      <c r="A5" s="8"/>
      <c r="C5" s="43"/>
    </row>
    <row r="6" spans="1:23" x14ac:dyDescent="0.45">
      <c r="C6" s="43"/>
    </row>
    <row r="7" spans="1:23" x14ac:dyDescent="0.45">
      <c r="C7" s="43"/>
    </row>
    <row r="8" spans="1:23" x14ac:dyDescent="0.45">
      <c r="C8" s="43"/>
    </row>
    <row r="9" spans="1:23" x14ac:dyDescent="0.45">
      <c r="C9" s="43"/>
    </row>
    <row r="10" spans="1:23" x14ac:dyDescent="0.45">
      <c r="C10" s="43"/>
      <c r="S10" s="8">
        <v>46023</v>
      </c>
      <c r="T10" t="s">
        <v>35</v>
      </c>
      <c r="U10" s="43"/>
      <c r="V10">
        <v>500</v>
      </c>
      <c r="W10">
        <v>300</v>
      </c>
    </row>
    <row r="11" spans="1:23" x14ac:dyDescent="0.45">
      <c r="C11" s="43"/>
      <c r="S11" s="8">
        <v>46027</v>
      </c>
      <c r="T11" t="s">
        <v>56</v>
      </c>
      <c r="U11" s="43"/>
      <c r="V11">
        <v>600</v>
      </c>
      <c r="W11">
        <v>250</v>
      </c>
    </row>
    <row r="12" spans="1:23" x14ac:dyDescent="0.45">
      <c r="C12" s="43"/>
    </row>
    <row r="13" spans="1:23" x14ac:dyDescent="0.45">
      <c r="C13" s="43"/>
    </row>
    <row r="14" spans="1:23" x14ac:dyDescent="0.45">
      <c r="C14" s="43"/>
    </row>
    <row r="15" spans="1:23" x14ac:dyDescent="0.45">
      <c r="C15" s="43"/>
    </row>
    <row r="16" spans="1:23" x14ac:dyDescent="0.45">
      <c r="C16" s="43"/>
    </row>
    <row r="17" spans="3:3" x14ac:dyDescent="0.45">
      <c r="C17" s="43"/>
    </row>
    <row r="18" spans="3:3" x14ac:dyDescent="0.45">
      <c r="C18" s="43"/>
    </row>
    <row r="19" spans="3:3" x14ac:dyDescent="0.45">
      <c r="C19" s="43"/>
    </row>
    <row r="20" spans="3:3" x14ac:dyDescent="0.45">
      <c r="C20" s="43"/>
    </row>
    <row r="21" spans="3:3" x14ac:dyDescent="0.45">
      <c r="C21" s="43"/>
    </row>
    <row r="22" spans="3:3" x14ac:dyDescent="0.45">
      <c r="C22" s="43"/>
    </row>
    <row r="23" spans="3:3" x14ac:dyDescent="0.45">
      <c r="C23" s="43"/>
    </row>
    <row r="24" spans="3:3" x14ac:dyDescent="0.45">
      <c r="C24" s="43"/>
    </row>
    <row r="25" spans="3:3" x14ac:dyDescent="0.45">
      <c r="C25" s="43"/>
    </row>
    <row r="26" spans="3:3" x14ac:dyDescent="0.45">
      <c r="C26" s="43"/>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08FF0C26804D479FD215BABECE3DD5" ma:contentTypeVersion="5" ma:contentTypeDescription="Create a new document." ma:contentTypeScope="" ma:versionID="32ee54e04b42ac150a8ba824f4bec396">
  <xsd:schema xmlns:xsd="http://www.w3.org/2001/XMLSchema" xmlns:xs="http://www.w3.org/2001/XMLSchema" xmlns:p="http://schemas.microsoft.com/office/2006/metadata/properties" xmlns:ns3="1837d636-0696-4245-9839-e99bbf073a3e" targetNamespace="http://schemas.microsoft.com/office/2006/metadata/properties" ma:root="true" ma:fieldsID="193b6c473beede0b4f2624cd0fa91372" ns3:_="">
    <xsd:import namespace="1837d636-0696-4245-9839-e99bbf073a3e"/>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37d636-0696-4245-9839-e99bbf073a3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1837d636-0696-4245-9839-e99bbf073a3e" xsi:nil="true"/>
  </documentManagement>
</p:properties>
</file>

<file path=customXml/itemProps1.xml><?xml version="1.0" encoding="utf-8"?>
<ds:datastoreItem xmlns:ds="http://schemas.openxmlformats.org/officeDocument/2006/customXml" ds:itemID="{E9289EE9-26C9-420D-B184-1C3F0814FA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37d636-0696-4245-9839-e99bbf073a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3.xml><?xml version="1.0" encoding="utf-8"?>
<ds:datastoreItem xmlns:ds="http://schemas.openxmlformats.org/officeDocument/2006/customXml" ds:itemID="{11EFF735-D625-4A91-91D3-D8AC1CA2884C}">
  <ds:schemaRefs>
    <ds:schemaRef ds:uri="1837d636-0696-4245-9839-e99bbf073a3e"/>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 ds:uri="http://schemas.openxmlformats.org/package/2006/metadata/core-properties"/>
    <ds:schemaRef ds:uri="http://schemas.microsoft.com/office/2006/metadata/properties"/>
    <ds:schemaRef ds:uri="http://purl.org/dc/elements/1.1/"/>
  </ds:schemaRefs>
</ds:datastoreItem>
</file>

<file path=docMetadata/LabelInfo.xml><?xml version="1.0" encoding="utf-8"?>
<clbl:labelList xmlns:clbl="http://schemas.microsoft.com/office/2020/mipLabelMetadata">
  <clbl:label id="{a9ee03e0-b78c-4998-8bf4-79b266b85105}" enabled="1" method="Standard" siteId="{723a5a87-f39a-4a22-9247-3fc240c0139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Home Page</vt:lpstr>
      <vt:lpstr>Expenses&amp;Incomes</vt:lpstr>
      <vt:lpstr>Goals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Owen Li</cp:lastModifiedBy>
  <cp:revision/>
  <dcterms:created xsi:type="dcterms:W3CDTF">2021-10-13T18:04:27Z</dcterms:created>
  <dcterms:modified xsi:type="dcterms:W3CDTF">2025-12-23T18:22:15Z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0x0101000C08FF0C26804D479FD215BABECE3DD5</vt:lpwstr>
  </property>
</Properties>
</file>